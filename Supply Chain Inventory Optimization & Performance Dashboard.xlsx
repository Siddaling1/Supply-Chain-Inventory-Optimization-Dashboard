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C:\Users\sidha\OneDrive\Desktop\data analyst\"/>
    </mc:Choice>
  </mc:AlternateContent>
  <xr:revisionPtr revIDLastSave="0" documentId="13_ncr:1_{FD7BDE79-DD85-4A48-B186-17C2F47B65B9}" xr6:coauthVersionLast="47" xr6:coauthVersionMax="47" xr10:uidLastSave="{00000000-0000-0000-0000-000000000000}"/>
  <bookViews>
    <workbookView xWindow="-108" yWindow="-108" windowWidth="23256" windowHeight="12456" activeTab="3" xr2:uid="{FA276E4E-CE01-4830-91EE-D14959F6FE9C}"/>
  </bookViews>
  <sheets>
    <sheet name="supply_chain_data" sheetId="2" r:id="rId1"/>
    <sheet name="Kpis" sheetId="4" r:id="rId2"/>
    <sheet name="Reports" sheetId="5" r:id="rId3"/>
    <sheet name="Sheet6" sheetId="7" r:id="rId4"/>
  </sheets>
  <definedNames>
    <definedName name="_xlcn.WorksheetConnection_Book1supply" hidden="1">supply[]</definedName>
    <definedName name="ExternalData_1" localSheetId="0" hidden="1">supply_chain_data!$A$1:$Z$101</definedName>
    <definedName name="Slicer_Location">#N/A</definedName>
    <definedName name="Slicer_Stocks_Level">#N/A</definedName>
    <definedName name="Slicer_Transportation_modes">#N/A</definedName>
  </definedNames>
  <calcPr calcId="191029"/>
  <pivotCaches>
    <pivotCache cacheId="0" r:id="rId5"/>
    <pivotCache cacheId="1" r:id="rId6"/>
    <pivotCache cacheId="2" r:id="rId7"/>
    <pivotCache cacheId="3" r:id="rId8"/>
    <pivotCache cacheId="4" r:id="rId9"/>
    <pivotCache cacheId="5" r:id="rId10"/>
    <pivotCache cacheId="6" r:id="rId11"/>
    <pivotCache cacheId="7" r:id="rId12"/>
  </pivotCaches>
  <extLst>
    <ext xmlns:x14="http://schemas.microsoft.com/office/spreadsheetml/2009/9/main" uri="{876F7934-8845-4945-9796-88D515C7AA90}">
      <x14:pivotCaches>
        <pivotCache cacheId="8" r:id="rId13"/>
      </x14:pivotCaches>
    </ext>
    <ext xmlns:x14="http://schemas.microsoft.com/office/spreadsheetml/2009/9/main" uri="{BBE1A952-AA13-448e-AADC-164F8A28A991}">
      <x14:slicerCaches>
        <x14:slicerCache r:id="rId14"/>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upply" name="supply" connection="WorksheetConnection_Book1!supply"/>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2" i="2" l="1" a="1"/>
  <c r="E2" i="2" s="1"/>
  <c r="E3" i="2" a="1"/>
  <c r="E3" i="2" s="1"/>
  <c r="E4" i="2" a="1"/>
  <c r="E4" i="2"/>
  <c r="E5" i="2" a="1"/>
  <c r="E5" i="2"/>
  <c r="E6" i="2" a="1"/>
  <c r="E6" i="2" s="1"/>
  <c r="E7" i="2" a="1"/>
  <c r="E7" i="2" s="1"/>
  <c r="E8" i="2" a="1"/>
  <c r="E8" i="2"/>
  <c r="E9" i="2" a="1"/>
  <c r="E9" i="2"/>
  <c r="E10" i="2" a="1"/>
  <c r="E10" i="2" s="1"/>
  <c r="E11" i="2" a="1"/>
  <c r="E11" i="2" s="1"/>
  <c r="E12" i="2" a="1"/>
  <c r="E12" i="2"/>
  <c r="E13" i="2" a="1"/>
  <c r="E13" i="2" s="1"/>
  <c r="E14" i="2" a="1"/>
  <c r="E14" i="2" s="1"/>
  <c r="E15" i="2" a="1"/>
  <c r="E15" i="2" s="1"/>
  <c r="E16" i="2" a="1"/>
  <c r="E16" i="2"/>
  <c r="E17" i="2" a="1"/>
  <c r="E17" i="2"/>
  <c r="E18" i="2" a="1"/>
  <c r="E18" i="2" s="1"/>
  <c r="E19" i="2" a="1"/>
  <c r="E19" i="2" s="1"/>
  <c r="E20" i="2" a="1"/>
  <c r="E20" i="2"/>
  <c r="E21" i="2" a="1"/>
  <c r="E21" i="2"/>
  <c r="E22" i="2" a="1"/>
  <c r="E22" i="2" s="1"/>
  <c r="E23" i="2" a="1"/>
  <c r="E23" i="2" s="1"/>
  <c r="E24" i="2" a="1"/>
  <c r="E24" i="2"/>
  <c r="E25" i="2" a="1"/>
  <c r="E25" i="2"/>
  <c r="E26" i="2" a="1"/>
  <c r="E26" i="2" s="1"/>
  <c r="E27" i="2" a="1"/>
  <c r="E27" i="2" s="1"/>
  <c r="E28" i="2" a="1"/>
  <c r="E28" i="2"/>
  <c r="E29" i="2" a="1"/>
  <c r="E29" i="2"/>
  <c r="E30" i="2" a="1"/>
  <c r="E30" i="2" s="1"/>
  <c r="E31" i="2" a="1"/>
  <c r="E31" i="2" s="1"/>
  <c r="E32" i="2" a="1"/>
  <c r="E32" i="2"/>
  <c r="E33" i="2" a="1"/>
  <c r="E33" i="2"/>
  <c r="E34" i="2" a="1"/>
  <c r="E34" i="2" s="1"/>
  <c r="E35" i="2" a="1"/>
  <c r="E35" i="2" s="1"/>
  <c r="E36" i="2" a="1"/>
  <c r="E36" i="2"/>
  <c r="E37" i="2" a="1"/>
  <c r="E37" i="2"/>
  <c r="E38" i="2" a="1"/>
  <c r="E38" i="2" s="1"/>
  <c r="E39" i="2" a="1"/>
  <c r="E39" i="2" s="1"/>
  <c r="E40" i="2" a="1"/>
  <c r="E40" i="2"/>
  <c r="E41" i="2" a="1"/>
  <c r="E41" i="2"/>
  <c r="E42" i="2" a="1"/>
  <c r="E42" i="2" s="1"/>
  <c r="E43" i="2" a="1"/>
  <c r="E43" i="2" s="1"/>
  <c r="E44" i="2" a="1"/>
  <c r="E44" i="2"/>
  <c r="E45" i="2" a="1"/>
  <c r="E45" i="2"/>
  <c r="E46" i="2" a="1"/>
  <c r="E46" i="2" s="1"/>
  <c r="E47" i="2" a="1"/>
  <c r="E47" i="2" s="1"/>
  <c r="E48" i="2" a="1"/>
  <c r="E48" i="2"/>
  <c r="E49" i="2" a="1"/>
  <c r="E49" i="2"/>
  <c r="E50" i="2" a="1"/>
  <c r="E50" i="2" s="1"/>
  <c r="E51" i="2" a="1"/>
  <c r="E51" i="2" s="1"/>
  <c r="E52" i="2" a="1"/>
  <c r="E52" i="2"/>
  <c r="E53" i="2" a="1"/>
  <c r="E53" i="2"/>
  <c r="E54" i="2" a="1"/>
  <c r="E54" i="2" s="1"/>
  <c r="E55" i="2" a="1"/>
  <c r="E55" i="2" s="1"/>
  <c r="E56" i="2" a="1"/>
  <c r="E56" i="2"/>
  <c r="E57" i="2" a="1"/>
  <c r="E57" i="2"/>
  <c r="E58" i="2" a="1"/>
  <c r="E58" i="2" s="1"/>
  <c r="E59" i="2" a="1"/>
  <c r="E59" i="2" s="1"/>
  <c r="E60" i="2" a="1"/>
  <c r="E60" i="2"/>
  <c r="E61" i="2" a="1"/>
  <c r="E61" i="2"/>
  <c r="E62" i="2" a="1"/>
  <c r="E62" i="2" s="1"/>
  <c r="E63" i="2" a="1"/>
  <c r="E63" i="2" s="1"/>
  <c r="E64" i="2" a="1"/>
  <c r="E64" i="2"/>
  <c r="E65" i="2" a="1"/>
  <c r="E65" i="2"/>
  <c r="E66" i="2" a="1"/>
  <c r="E66" i="2" s="1"/>
  <c r="E67" i="2" a="1"/>
  <c r="E67" i="2" s="1"/>
  <c r="E68" i="2" a="1"/>
  <c r="E68" i="2"/>
  <c r="E69" i="2" a="1"/>
  <c r="E69" i="2"/>
  <c r="E70" i="2" a="1"/>
  <c r="E70" i="2" s="1"/>
  <c r="E71" i="2" a="1"/>
  <c r="E71" i="2" s="1"/>
  <c r="E72" i="2" a="1"/>
  <c r="E72" i="2"/>
  <c r="E73" i="2" a="1"/>
  <c r="E73" i="2"/>
  <c r="E74" i="2" a="1"/>
  <c r="E74" i="2" s="1"/>
  <c r="E75" i="2" a="1"/>
  <c r="E75" i="2" s="1"/>
  <c r="E76" i="2" a="1"/>
  <c r="E76" i="2"/>
  <c r="E77" i="2" a="1"/>
  <c r="E77" i="2"/>
  <c r="E78" i="2" a="1"/>
  <c r="E78" i="2" s="1"/>
  <c r="E79" i="2" a="1"/>
  <c r="E79" i="2" s="1"/>
  <c r="E80" i="2" a="1"/>
  <c r="E80" i="2"/>
  <c r="E81" i="2" a="1"/>
  <c r="E81" i="2"/>
  <c r="E82" i="2" a="1"/>
  <c r="E82" i="2" s="1"/>
  <c r="E83" i="2" a="1"/>
  <c r="E83" i="2" s="1"/>
  <c r="E84" i="2" a="1"/>
  <c r="E84" i="2"/>
  <c r="E85" i="2" a="1"/>
  <c r="E85" i="2"/>
  <c r="E86" i="2" a="1"/>
  <c r="E86" i="2" s="1"/>
  <c r="E87" i="2" a="1"/>
  <c r="E87" i="2" s="1"/>
  <c r="E88" i="2" a="1"/>
  <c r="E88" i="2"/>
  <c r="E89" i="2" a="1"/>
  <c r="E89" i="2"/>
  <c r="E90" i="2" a="1"/>
  <c r="E90" i="2" s="1"/>
  <c r="E91" i="2" a="1"/>
  <c r="E91" i="2" s="1"/>
  <c r="E92" i="2" a="1"/>
  <c r="E92" i="2"/>
  <c r="E93" i="2" a="1"/>
  <c r="E93" i="2"/>
  <c r="E94" i="2" a="1"/>
  <c r="E94" i="2" s="1"/>
  <c r="E95" i="2" a="1"/>
  <c r="E95" i="2" s="1"/>
  <c r="E96" i="2" a="1"/>
  <c r="E96" i="2"/>
  <c r="E97" i="2" a="1"/>
  <c r="E97" i="2"/>
  <c r="E98" i="2" a="1"/>
  <c r="E98" i="2" s="1"/>
  <c r="E99" i="2" a="1"/>
  <c r="E99" i="2" s="1"/>
  <c r="E100" i="2" a="1"/>
  <c r="E100" i="2"/>
  <c r="E101" i="2" a="1"/>
  <c r="E101" i="2"/>
  <c r="J2" i="2" a="1"/>
  <c r="J2" i="2" s="1"/>
  <c r="J3" i="2" a="1"/>
  <c r="J3" i="2" s="1"/>
  <c r="J4" i="2" a="1"/>
  <c r="J4" i="2" s="1"/>
  <c r="J5" i="2" a="1"/>
  <c r="J5" i="2" s="1"/>
  <c r="J6" i="2" a="1"/>
  <c r="J6" i="2" s="1"/>
  <c r="J7" i="2" a="1"/>
  <c r="J7" i="2" s="1"/>
  <c r="J8" i="2" a="1"/>
  <c r="J8" i="2" s="1"/>
  <c r="J9" i="2" a="1"/>
  <c r="J9" i="2" s="1"/>
  <c r="J10" i="2" a="1"/>
  <c r="J10" i="2" s="1"/>
  <c r="J11" i="2" a="1"/>
  <c r="J11" i="2" s="1"/>
  <c r="J12" i="2" a="1"/>
  <c r="J12" i="2" s="1"/>
  <c r="J13" i="2" a="1"/>
  <c r="J13" i="2"/>
  <c r="J14" i="2" a="1"/>
  <c r="J14" i="2" s="1"/>
  <c r="J15" i="2" a="1"/>
  <c r="J15" i="2" s="1"/>
  <c r="J16" i="2" a="1"/>
  <c r="J16" i="2" s="1"/>
  <c r="J17" i="2" a="1"/>
  <c r="J17" i="2" s="1"/>
  <c r="J18" i="2" a="1"/>
  <c r="J18" i="2" s="1"/>
  <c r="J19" i="2" a="1"/>
  <c r="J19" i="2" s="1"/>
  <c r="J20" i="2" a="1"/>
  <c r="J20" i="2" s="1"/>
  <c r="J21" i="2" a="1"/>
  <c r="J21" i="2" s="1"/>
  <c r="J22" i="2" a="1"/>
  <c r="J22" i="2" s="1"/>
  <c r="J23" i="2" a="1"/>
  <c r="J23" i="2" s="1"/>
  <c r="J24" i="2" a="1"/>
  <c r="J24" i="2" s="1"/>
  <c r="J25" i="2" a="1"/>
  <c r="J25" i="2" s="1"/>
  <c r="J26" i="2" a="1"/>
  <c r="J26" i="2" s="1"/>
  <c r="J27" i="2" a="1"/>
  <c r="J27" i="2" s="1"/>
  <c r="J28" i="2" a="1"/>
  <c r="J28" i="2" s="1"/>
  <c r="J29" i="2" a="1"/>
  <c r="J29" i="2" s="1"/>
  <c r="J30" i="2" a="1"/>
  <c r="J30" i="2" s="1"/>
  <c r="J31" i="2" a="1"/>
  <c r="J31" i="2" s="1"/>
  <c r="J32" i="2" a="1"/>
  <c r="J32" i="2" s="1"/>
  <c r="J33" i="2" a="1"/>
  <c r="J33" i="2" s="1"/>
  <c r="J34" i="2" a="1"/>
  <c r="J34" i="2" s="1"/>
  <c r="J35" i="2" a="1"/>
  <c r="J35" i="2" s="1"/>
  <c r="J36" i="2" a="1"/>
  <c r="J36" i="2" s="1"/>
  <c r="J37" i="2" a="1"/>
  <c r="J37" i="2"/>
  <c r="J38" i="2" a="1"/>
  <c r="J38" i="2" s="1"/>
  <c r="J39" i="2" a="1"/>
  <c r="J39" i="2" s="1"/>
  <c r="J40" i="2" a="1"/>
  <c r="J40" i="2" s="1"/>
  <c r="J41" i="2" a="1"/>
  <c r="J41" i="2" s="1"/>
  <c r="J42" i="2" a="1"/>
  <c r="J42" i="2"/>
  <c r="J43" i="2" a="1"/>
  <c r="J43" i="2" s="1"/>
  <c r="J44" i="2" a="1"/>
  <c r="J44" i="2" s="1"/>
  <c r="J45" i="2" a="1"/>
  <c r="J45" i="2" s="1"/>
  <c r="J46" i="2" a="1"/>
  <c r="J46" i="2" s="1"/>
  <c r="J47" i="2" a="1"/>
  <c r="J47" i="2" s="1"/>
  <c r="J48" i="2" a="1"/>
  <c r="J48" i="2" s="1"/>
  <c r="J49" i="2" a="1"/>
  <c r="J49" i="2" s="1"/>
  <c r="J50" i="2" a="1"/>
  <c r="J50" i="2" s="1"/>
  <c r="J51" i="2" a="1"/>
  <c r="J51" i="2" s="1"/>
  <c r="J52" i="2" a="1"/>
  <c r="J52" i="2" s="1"/>
  <c r="J53" i="2" a="1"/>
  <c r="J53" i="2" s="1"/>
  <c r="J54" i="2" a="1"/>
  <c r="J54" i="2" s="1"/>
  <c r="J55" i="2" a="1"/>
  <c r="J55" i="2" s="1"/>
  <c r="J56" i="2" a="1"/>
  <c r="J56" i="2" s="1"/>
  <c r="J57" i="2" a="1"/>
  <c r="J57" i="2" s="1"/>
  <c r="J58" i="2" a="1"/>
  <c r="J58" i="2" s="1"/>
  <c r="J59" i="2" a="1"/>
  <c r="J59" i="2" s="1"/>
  <c r="J60" i="2" a="1"/>
  <c r="J60" i="2" s="1"/>
  <c r="J61" i="2" a="1"/>
  <c r="J61" i="2" s="1"/>
  <c r="J62" i="2" a="1"/>
  <c r="J62" i="2" s="1"/>
  <c r="J63" i="2" a="1"/>
  <c r="J63" i="2" s="1"/>
  <c r="J64" i="2" a="1"/>
  <c r="J64" i="2" s="1"/>
  <c r="J65" i="2" a="1"/>
  <c r="J65" i="2" s="1"/>
  <c r="J66" i="2" a="1"/>
  <c r="J66" i="2" s="1"/>
  <c r="J67" i="2" a="1"/>
  <c r="J67" i="2" s="1"/>
  <c r="J68" i="2" a="1"/>
  <c r="J68" i="2" s="1"/>
  <c r="J69" i="2" a="1"/>
  <c r="J69" i="2" s="1"/>
  <c r="J70" i="2" a="1"/>
  <c r="J70" i="2" s="1"/>
  <c r="J71" i="2" a="1"/>
  <c r="J71" i="2" s="1"/>
  <c r="J72" i="2" a="1"/>
  <c r="J72" i="2" s="1"/>
  <c r="J73" i="2" a="1"/>
  <c r="J73" i="2" s="1"/>
  <c r="J74" i="2" a="1"/>
  <c r="J74" i="2"/>
  <c r="J75" i="2" a="1"/>
  <c r="J75" i="2" s="1"/>
  <c r="J76" i="2" a="1"/>
  <c r="J76" i="2" s="1"/>
  <c r="J77" i="2" a="1"/>
  <c r="J77" i="2" s="1"/>
  <c r="J78" i="2" a="1"/>
  <c r="J78" i="2"/>
  <c r="J79" i="2" a="1"/>
  <c r="J79" i="2" s="1"/>
  <c r="J80" i="2" a="1"/>
  <c r="J80" i="2" s="1"/>
  <c r="J81" i="2" a="1"/>
  <c r="J81" i="2" s="1"/>
  <c r="J82" i="2" a="1"/>
  <c r="J82" i="2" s="1"/>
  <c r="J83" i="2" a="1"/>
  <c r="J83" i="2" s="1"/>
  <c r="J84" i="2" a="1"/>
  <c r="J84" i="2" s="1"/>
  <c r="J85" i="2" a="1"/>
  <c r="J85" i="2" s="1"/>
  <c r="J86" i="2" a="1"/>
  <c r="J86" i="2"/>
  <c r="J87" i="2" a="1"/>
  <c r="J87" i="2" s="1"/>
  <c r="J88" i="2" a="1"/>
  <c r="J88" i="2" s="1"/>
  <c r="J89" i="2" a="1"/>
  <c r="J89" i="2" s="1"/>
  <c r="J90" i="2" a="1"/>
  <c r="J90" i="2" s="1"/>
  <c r="J91" i="2" a="1"/>
  <c r="J91" i="2" s="1"/>
  <c r="J92" i="2" a="1"/>
  <c r="J92" i="2" s="1"/>
  <c r="J93" i="2" a="1"/>
  <c r="J93" i="2" s="1"/>
  <c r="J94" i="2" a="1"/>
  <c r="J94" i="2" s="1"/>
  <c r="J95" i="2" a="1"/>
  <c r="J95" i="2" s="1"/>
  <c r="J96" i="2" a="1"/>
  <c r="J96" i="2" s="1"/>
  <c r="J97" i="2" a="1"/>
  <c r="J97" i="2" s="1"/>
  <c r="J98" i="2" a="1"/>
  <c r="J98" i="2" s="1"/>
  <c r="J99" i="2" a="1"/>
  <c r="J99" i="2" s="1"/>
  <c r="J100" i="2" a="1"/>
  <c r="J100" i="2" s="1"/>
  <c r="J101" i="2" a="1"/>
  <c r="J101" i="2"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26F3BB-C8F4-4796-88DF-BABEB8B9E365}" keepAlive="1" name="Query - supply_chain_data" description="Connection to the 'supply_chain_data' query in the workbook." type="5" refreshedVersion="8" background="1" saveData="1">
    <dbPr connection="Provider=Microsoft.Mashup.OleDb.1;Data Source=$Workbook$;Location=supply_chain_data;Extended Properties=&quot;&quot;" command="SELECT * FROM [supply_chain_data]"/>
  </connection>
  <connection id="2" xr16:uid="{BD8E1ADA-C716-436E-98F7-440E67325BD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6C92258E-2171-4ECE-A47F-9DBE6B9B808F}" name="WorksheetConnection_Book1!supply" type="102" refreshedVersion="8" minRefreshableVersion="5">
    <extLst>
      <ext xmlns:x15="http://schemas.microsoft.com/office/spreadsheetml/2010/11/main" uri="{DE250136-89BD-433C-8126-D09CA5730AF9}">
        <x15:connection id="supply" autoDelete="1">
          <x15:rangePr sourceName="_xlcn.WorksheetConnection_Book1supply"/>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<sst xmlns="http://schemas.openxmlformats.org/spreadsheetml/2006/main" count="992" uniqueCount="169">
  <si>
    <t>Product type</t>
  </si>
  <si>
    <t>SKU</t>
  </si>
  <si>
    <t>Price</t>
  </si>
  <si>
    <t>Availability</t>
  </si>
  <si>
    <t>Number of products sold</t>
  </si>
  <si>
    <t>Revenue generated</t>
  </si>
  <si>
    <t>Customer demographics</t>
  </si>
  <si>
    <t>Lead times</t>
  </si>
  <si>
    <t>Order quantities</t>
  </si>
  <si>
    <t>Shipping times</t>
  </si>
  <si>
    <t>Shipping carriers</t>
  </si>
  <si>
    <t>Shipping costs</t>
  </si>
  <si>
    <t>Supplier name</t>
  </si>
  <si>
    <t>Location</t>
  </si>
  <si>
    <t>Lead time</t>
  </si>
  <si>
    <t>Production volumes</t>
  </si>
  <si>
    <t>Manufacturing lead time</t>
  </si>
  <si>
    <t>Manufacturing costs</t>
  </si>
  <si>
    <t>Inspection results</t>
  </si>
  <si>
    <t>Defect rates</t>
  </si>
  <si>
    <t>Transportation modes</t>
  </si>
  <si>
    <t>Routes</t>
  </si>
  <si>
    <t>Costs</t>
  </si>
  <si>
    <t>haircare</t>
  </si>
  <si>
    <t>SKU0</t>
  </si>
  <si>
    <t>Non-binary</t>
  </si>
  <si>
    <t>Carrier B</t>
  </si>
  <si>
    <t>Supplier 3</t>
  </si>
  <si>
    <t>Mumbai</t>
  </si>
  <si>
    <t>Pending</t>
  </si>
  <si>
    <t>Road</t>
  </si>
  <si>
    <t>Route B</t>
  </si>
  <si>
    <t>skincare</t>
  </si>
  <si>
    <t>SKU1</t>
  </si>
  <si>
    <t>Female</t>
  </si>
  <si>
    <t>Carrier A</t>
  </si>
  <si>
    <t>SKU2</t>
  </si>
  <si>
    <t>Unknown</t>
  </si>
  <si>
    <t>Supplier 1</t>
  </si>
  <si>
    <t>Air</t>
  </si>
  <si>
    <t>Route C</t>
  </si>
  <si>
    <t>SKU3</t>
  </si>
  <si>
    <t>Carrier C</t>
  </si>
  <si>
    <t>Supplier 5</t>
  </si>
  <si>
    <t>Kolkata</t>
  </si>
  <si>
    <t>Fail</t>
  </si>
  <si>
    <t>Rail</t>
  </si>
  <si>
    <t>Route A</t>
  </si>
  <si>
    <t>SKU4</t>
  </si>
  <si>
    <t>Delhi</t>
  </si>
  <si>
    <t>SKU5</t>
  </si>
  <si>
    <t>Supplier 4</t>
  </si>
  <si>
    <t>Bangalore</t>
  </si>
  <si>
    <t>SKU6</t>
  </si>
  <si>
    <t>Male</t>
  </si>
  <si>
    <t>Sea</t>
  </si>
  <si>
    <t>cosmetics</t>
  </si>
  <si>
    <t>SKU7</t>
  </si>
  <si>
    <t>SKU8</t>
  </si>
  <si>
    <t>SKU9</t>
  </si>
  <si>
    <t>Supplier 2</t>
  </si>
  <si>
    <t>Chennai</t>
  </si>
  <si>
    <t>SKU10</t>
  </si>
  <si>
    <t>Pass</t>
  </si>
  <si>
    <t>SKU11</t>
  </si>
  <si>
    <t>SKU12</t>
  </si>
  <si>
    <t>SKU13</t>
  </si>
  <si>
    <t>SKU14</t>
  </si>
  <si>
    <t>SKU15</t>
  </si>
  <si>
    <t>SKU16</t>
  </si>
  <si>
    <t>SKU17</t>
  </si>
  <si>
    <t>SKU18</t>
  </si>
  <si>
    <t>SKU19</t>
  </si>
  <si>
    <t>SKU20</t>
  </si>
  <si>
    <t>SKU21</t>
  </si>
  <si>
    <t>SKU22</t>
  </si>
  <si>
    <t>SKU23</t>
  </si>
  <si>
    <t>SKU24</t>
  </si>
  <si>
    <t>SKU25</t>
  </si>
  <si>
    <t>SKU26</t>
  </si>
  <si>
    <t>SKU27</t>
  </si>
  <si>
    <t>SKU28</t>
  </si>
  <si>
    <t>SKU29</t>
  </si>
  <si>
    <t>SKU30</t>
  </si>
  <si>
    <t>SKU31</t>
  </si>
  <si>
    <t>SKU32</t>
  </si>
  <si>
    <t>SKU33</t>
  </si>
  <si>
    <t>SKU34</t>
  </si>
  <si>
    <t>SKU35</t>
  </si>
  <si>
    <t>SKU36</t>
  </si>
  <si>
    <t>SKU37</t>
  </si>
  <si>
    <t>SKU38</t>
  </si>
  <si>
    <t>SKU39</t>
  </si>
  <si>
    <t>SKU40</t>
  </si>
  <si>
    <t>SKU41</t>
  </si>
  <si>
    <t>SKU42</t>
  </si>
  <si>
    <t>SKU43</t>
  </si>
  <si>
    <t>SKU44</t>
  </si>
  <si>
    <t>SKU45</t>
  </si>
  <si>
    <t>SKU46</t>
  </si>
  <si>
    <t>SKU47</t>
  </si>
  <si>
    <t>SKU48</t>
  </si>
  <si>
    <t>SKU49</t>
  </si>
  <si>
    <t>SKU50</t>
  </si>
  <si>
    <t>SKU51</t>
  </si>
  <si>
    <t>SKU52</t>
  </si>
  <si>
    <t>SKU53</t>
  </si>
  <si>
    <t>SKU54</t>
  </si>
  <si>
    <t>SKU55</t>
  </si>
  <si>
    <t>SKU56</t>
  </si>
  <si>
    <t>SKU57</t>
  </si>
  <si>
    <t>SKU58</t>
  </si>
  <si>
    <t>SKU59</t>
  </si>
  <si>
    <t>SKU60</t>
  </si>
  <si>
    <t>SKU61</t>
  </si>
  <si>
    <t>SKU62</t>
  </si>
  <si>
    <t>SKU63</t>
  </si>
  <si>
    <t>SKU64</t>
  </si>
  <si>
    <t>SKU65</t>
  </si>
  <si>
    <t>SKU66</t>
  </si>
  <si>
    <t>SKU67</t>
  </si>
  <si>
    <t>SKU68</t>
  </si>
  <si>
    <t>SKU69</t>
  </si>
  <si>
    <t>SKU70</t>
  </si>
  <si>
    <t>SKU71</t>
  </si>
  <si>
    <t>SKU72</t>
  </si>
  <si>
    <t>SKU73</t>
  </si>
  <si>
    <t>SKU74</t>
  </si>
  <si>
    <t>SKU75</t>
  </si>
  <si>
    <t>SKU76</t>
  </si>
  <si>
    <t>SKU77</t>
  </si>
  <si>
    <t>SKU78</t>
  </si>
  <si>
    <t>SKU79</t>
  </si>
  <si>
    <t>SKU80</t>
  </si>
  <si>
    <t>SKU81</t>
  </si>
  <si>
    <t>SKU82</t>
  </si>
  <si>
    <t>SKU83</t>
  </si>
  <si>
    <t>SKU84</t>
  </si>
  <si>
    <t>SKU85</t>
  </si>
  <si>
    <t>SKU86</t>
  </si>
  <si>
    <t>SKU87</t>
  </si>
  <si>
    <t>SKU88</t>
  </si>
  <si>
    <t>SKU89</t>
  </si>
  <si>
    <t>SKU90</t>
  </si>
  <si>
    <t>SKU91</t>
  </si>
  <si>
    <t>SKU92</t>
  </si>
  <si>
    <t>SKU93</t>
  </si>
  <si>
    <t>SKU94</t>
  </si>
  <si>
    <t>SKU95</t>
  </si>
  <si>
    <t>SKU96</t>
  </si>
  <si>
    <t>SKU97</t>
  </si>
  <si>
    <t>SKU98</t>
  </si>
  <si>
    <t>SKU99</t>
  </si>
  <si>
    <t>Availabi;ity Level</t>
  </si>
  <si>
    <t>Stocks Level</t>
  </si>
  <si>
    <t>Stocks</t>
  </si>
  <si>
    <t>Row Labels</t>
  </si>
  <si>
    <t>Grand Total</t>
  </si>
  <si>
    <t>Total Products</t>
  </si>
  <si>
    <t>Total Stock</t>
  </si>
  <si>
    <t>Avgerage Lead Time</t>
  </si>
  <si>
    <t xml:space="preserve">Total Revenue </t>
  </si>
  <si>
    <t>Low Stock Count</t>
  </si>
  <si>
    <t>Avg Shipping Cost</t>
  </si>
  <si>
    <t>Avg Defect Cost</t>
  </si>
  <si>
    <t>Total Manufacturing Cost</t>
  </si>
  <si>
    <t>Total Units Sold</t>
  </si>
  <si>
    <t>Total Shipping costs</t>
  </si>
  <si>
    <t xml:space="preserve">High Stock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</si>
</sst>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 &quot;₹&quot;\ * #,##0.00_ ;_ &quot;₹&quot;\ * \-#,##0.00_ ;_ &quot;₹&quot;\ * &quot;-&quot;??_ ;_ @_ "/>
    <numFmt numFmtId="164" formatCode="_ [$₹-4009]\ * #,##0.00_ ;_ [$₹-4009]\ * \-#,##0.00_ ;_ [$₹-4009]\ * &quot;-&quot;??_ ;_ @_ "/>
    <numFmt numFmtId="165" formatCode="&quot;₹&quot;\ #,##0.00"/>
  </numFmts>
  <fonts count="2" x14ac:knownFonts="1">
    <font>
      <sz val="11"/>
      <color theme="1"/>
      <name val="Calibri"/>
      <family val="2"/>
      <scheme val="minor"/>
    </font>
    <font>
      <sz val="11"/>
      <color theme="1"/>
      <name val="Calibri"/>
      <family val="2"/>
      <scheme val="minor"/>
    </font>
  </fonts>
  <fills count="4">
    <fill>
      <patternFill patternType="none"/>
    </fill>
    <fill>
      <patternFill patternType="gray125"/>
    </fill>
    <fill>
      <patternFill patternType="solid">
        <fgColor theme="2"/>
        <bgColor indexed="64"/>
      </patternFill>
    </fill>
    <fill>
      <patternFill patternType="solid">
        <fgColor theme="0"/>
        <bgColor indexed="64"/>
      </patternFill>
    </fill>
  </fills>
  <borders count="1">
    <border>
      <left/>
      <right/>
      <top/>
      <bottom/>
      <diagonal/>
    </border>
  </borders>
  <cellStyleXfs count="2">
    <xf numFmtId="0" fontId="0" fillId="0" borderId="0"/>
    <xf numFmtId="44" fontId="1" fillId="0" borderId="0" applyFont="0" applyFill="0" applyBorder="0" applyAlignment="0" applyProtection="0"/>
  </cellStyleXfs>
  <cellXfs count="10">
    <xf numFmtId="0" fontId="0" fillId="0" borderId="0" xfId="0"/>
    <xf numFmtId="0" fontId="0" fillId="0" borderId="0" xfId="0" pivotButton="1"/>
    <xf numFmtId="0" fontId="0" fillId="0" borderId="0" xfId="0" applyAlignment="1">
      <alignment horizontal="left"/>
    </xf>
    <xf numFmtId="164" fontId="0" fillId="0" borderId="0" xfId="0" applyNumberFormat="1"/>
    <xf numFmtId="44" fontId="0" fillId="0" borderId="0" xfId="1" applyFont="1"/>
    <xf numFmtId="164" fontId="0" fillId="0" borderId="0" xfId="1" applyNumberFormat="1" applyFont="1"/>
    <xf numFmtId="165" fontId="0" fillId="0" borderId="0" xfId="0" applyNumberFormat="1"/>
    <xf numFmtId="2" fontId="0" fillId="0" borderId="0" xfId="0" applyNumberFormat="1"/>
    <xf numFmtId="0" fontId="0" fillId="2" borderId="0" xfId="0" applyFill="1"/>
    <xf numFmtId="0" fontId="0" fillId="3" borderId="0" xfId="0" applyFill="1"/>
  </cellXfs>
  <cellStyles count="2">
    <cellStyle name="Currency" xfId="1" builtinId="4"/>
    <cellStyle name="Normal" xfId="0" builtinId="0"/>
  </cellStyles>
  <dxfs count="18">
    <dxf>
      <numFmt numFmtId="2" formatCode="0.00"/>
    </dxf>
    <dxf>
      <numFmt numFmtId="2" formatCode="0.00"/>
    </dxf>
    <dxf>
      <numFmt numFmtId="2" formatCode="0.00"/>
    </dxf>
    <dxf>
      <numFmt numFmtId="165" formatCode="&quot;₹&quot;\ #,##0.00"/>
    </dxf>
    <dxf>
      <numFmt numFmtId="165" formatCode="&quot;₹&quot;\ #,##0.00"/>
    </dxf>
    <dxf>
      <numFmt numFmtId="0" formatCode="General"/>
    </dxf>
    <dxf>
      <numFmt numFmtId="0" formatCode="General"/>
    </dxf>
    <dxf>
      <numFmt numFmtId="0" formatCode="General"/>
    </dxf>
    <dxf>
      <numFmt numFmtId="0" formatCode="General"/>
    </dxf>
    <dxf>
      <numFmt numFmtId="0" formatCode="General"/>
    </dxf>
    <dxf>
      <numFmt numFmtId="164" formatCode="_ [$₹-4009]\ * #,##0.00_ ;_ [$₹-4009]\ * \-#,##0.00_ ;_ [$₹-4009]\ * &quot;-&quot;??_ ;_ @_ "/>
    </dxf>
    <dxf>
      <numFmt numFmtId="0" formatCode="General"/>
    </dxf>
    <dxf>
      <numFmt numFmtId="0" formatCode="General"/>
    </dxf>
    <dxf>
      <numFmt numFmtId="0" formatCode="General"/>
    </dxf>
    <dxf>
      <numFmt numFmtId="0" formatCode="General"/>
    </dxf>
    <dxf>
      <numFmt numFmtId="164" formatCode="_ [$₹-4009]\ * #,##0.00_ ;_ [$₹-4009]\ * \-#,##0.00_ ;_ [$₹-4009]\ * &quot;-&quot;??_ ;_ @_ "/>
    </dxf>
    <dxf>
      <numFmt numFmtId="0" formatCode="General"/>
    </dxf>
    <dxf>
      <numFmt numFmtId="0" formatCode="General"/>
    </dxf>
  </dxfs>
  <tableStyles count="0" defaultTableStyle="TableStyleMedium2" defaultPivotStyle="PivotStyleLight16"/>
  <colors>
    <mruColors>
      <color rgb="FFFFFFFF"/>
      <color rgb="FF0000FF"/>
      <color rgb="FFCEB6E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pivotCacheDefinition" Target="pivotCache/pivotCacheDefinition9.xml"/><Relationship Id="rId18"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openxmlformats.org/officeDocument/2006/relationships/customXml" Target="../customXml/item1.xml"/><Relationship Id="rId5" Type="http://schemas.openxmlformats.org/officeDocument/2006/relationships/pivotCacheDefinition" Target="pivotCache/pivotCacheDefinition1.xml"/><Relationship Id="rId15" Type="http://schemas.microsoft.com/office/2007/relationships/slicerCache" Target="slicerCaches/slicerCache2.xml"/><Relationship Id="rId23" Type="http://schemas.openxmlformats.org/officeDocument/2006/relationships/calcChain" Target="calcChain.xml"/><Relationship Id="rId10" Type="http://schemas.openxmlformats.org/officeDocument/2006/relationships/pivotCacheDefinition" Target="pivotCache/pivotCacheDefinition6.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microsoft.com/office/2007/relationships/slicerCache" Target="slicerCaches/slicerCache1.xml"/><Relationship Id="rId22"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 Inventory Optimization &amp; Performance Dashboard.xlsx]Reports!PivotTable7</c:name>
    <c:fmtId val="11"/>
  </c:pivotSource>
  <c:chart>
    <c:title>
      <c:tx>
        <c:rich>
          <a:bodyPr rot="0" spcFirstLastPara="1" vertOverflow="ellipsis" vert="horz" wrap="square" anchor="ctr" anchorCtr="1"/>
          <a:lstStyle/>
          <a:p>
            <a:pPr>
              <a:defRPr sz="1400" b="1" i="0" u="none" strike="noStrike" kern="1200" spc="0" baseline="0">
                <a:gradFill>
                  <a:gsLst>
                    <a:gs pos="0">
                      <a:schemeClr val="tx1">
                        <a:lumMod val="75000"/>
                        <a:lumOff val="25000"/>
                      </a:schemeClr>
                    </a:gs>
                    <a:gs pos="23000">
                      <a:schemeClr val="tx1">
                        <a:lumMod val="95000"/>
                        <a:lumOff val="5000"/>
                      </a:schemeClr>
                    </a:gs>
                    <a:gs pos="99000">
                      <a:schemeClr val="tx1">
                        <a:lumMod val="95000"/>
                        <a:lumOff val="5000"/>
                      </a:schemeClr>
                    </a:gs>
                    <a:gs pos="97000">
                      <a:schemeClr val="accent2">
                        <a:lumMod val="70000"/>
                      </a:schemeClr>
                    </a:gs>
                  </a:gsLst>
                  <a:path path="circle">
                    <a:fillToRect l="50000" t="50000" r="50000" b="50000"/>
                  </a:path>
                </a:gradFill>
                <a:effectLst>
                  <a:outerShdw blurRad="50800" dist="50800" dir="5400000" sx="6000" sy="6000" algn="ctr" rotWithShape="0">
                    <a:srgbClr val="000000">
                      <a:alpha val="43137"/>
                    </a:srgbClr>
                  </a:outerShdw>
                </a:effectLst>
                <a:latin typeface="+mn-lt"/>
                <a:ea typeface="+mn-ea"/>
                <a:cs typeface="+mn-cs"/>
              </a:defRPr>
            </a:pPr>
            <a:r>
              <a:rPr lang="en-US" b="1" i="0" baseline="0">
                <a:gradFill>
                  <a:gsLst>
                    <a:gs pos="0">
                      <a:schemeClr val="tx1">
                        <a:lumMod val="75000"/>
                        <a:lumOff val="25000"/>
                      </a:schemeClr>
                    </a:gs>
                    <a:gs pos="23000">
                      <a:schemeClr val="tx1">
                        <a:lumMod val="95000"/>
                        <a:lumOff val="5000"/>
                      </a:schemeClr>
                    </a:gs>
                    <a:gs pos="99000">
                      <a:schemeClr val="tx1">
                        <a:lumMod val="95000"/>
                        <a:lumOff val="5000"/>
                      </a:schemeClr>
                    </a:gs>
                    <a:gs pos="97000">
                      <a:schemeClr val="accent2">
                        <a:lumMod val="70000"/>
                      </a:schemeClr>
                    </a:gs>
                  </a:gsLst>
                  <a:path path="circle">
                    <a:fillToRect l="50000" t="50000" r="50000" b="50000"/>
                  </a:path>
                </a:gradFill>
              </a:rPr>
              <a:t>Shipping Cost for Transport Mode</a:t>
            </a:r>
          </a:p>
        </c:rich>
      </c:tx>
      <c:overlay val="0"/>
      <c:spPr>
        <a:noFill/>
        <a:ln>
          <a:noFill/>
        </a:ln>
        <a:effectLst/>
      </c:spPr>
      <c:txPr>
        <a:bodyPr rot="0" spcFirstLastPara="1" vertOverflow="ellipsis" vert="horz" wrap="square" anchor="ctr" anchorCtr="1"/>
        <a:lstStyle/>
        <a:p>
          <a:pPr>
            <a:defRPr sz="1400" b="1" i="0" u="none" strike="noStrike" kern="1200" spc="0" baseline="0">
              <a:gradFill>
                <a:gsLst>
                  <a:gs pos="0">
                    <a:schemeClr val="tx1">
                      <a:lumMod val="75000"/>
                      <a:lumOff val="25000"/>
                    </a:schemeClr>
                  </a:gs>
                  <a:gs pos="23000">
                    <a:schemeClr val="tx1">
                      <a:lumMod val="95000"/>
                      <a:lumOff val="5000"/>
                    </a:schemeClr>
                  </a:gs>
                  <a:gs pos="99000">
                    <a:schemeClr val="tx1">
                      <a:lumMod val="95000"/>
                      <a:lumOff val="5000"/>
                    </a:schemeClr>
                  </a:gs>
                  <a:gs pos="97000">
                    <a:schemeClr val="accent2">
                      <a:lumMod val="70000"/>
                    </a:schemeClr>
                  </a:gs>
                </a:gsLst>
                <a:path path="circle">
                  <a:fillToRect l="50000" t="50000" r="50000" b="50000"/>
                </a:path>
              </a:gradFill>
              <a:effectLst>
                <a:outerShdw blurRad="50800" dist="50800" dir="5400000" sx="6000" sy="6000" algn="ctr" rotWithShape="0">
                  <a:srgbClr val="000000">
                    <a:alpha val="43137"/>
                  </a:srgbClr>
                </a:outerShdw>
              </a:effectLst>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effectLst>
                    <a:outerShdw blurRad="50800" dist="50800" dir="5400000" sx="6000" sy="6000" algn="ctr" rotWithShape="0">
                      <a:srgbClr val="000000">
                        <a:alpha val="43137"/>
                      </a:srgbClr>
                    </a:outerShdw>
                  </a:effectLst>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effectLst>
                    <a:outerShdw blurRad="50800" dist="50800" dir="5400000" sx="6000" sy="6000" algn="ctr" rotWithShape="0">
                      <a:srgbClr val="000000">
                        <a:alpha val="43137"/>
                      </a:srgbClr>
                    </a:outerShdw>
                  </a:effectLst>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effectLst>
                    <a:outerShdw blurRad="50800" dist="50800" dir="5400000" sx="6000" sy="6000" algn="ctr" rotWithShape="0">
                      <a:srgbClr val="000000">
                        <a:alpha val="43137"/>
                      </a:srgb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effectLst>
                    <a:outerShdw blurRad="50800" dist="50800" dir="5400000" sx="6000" sy="6000" algn="ctr" rotWithShape="0">
                      <a:srgbClr val="000000">
                        <a:alpha val="43137"/>
                      </a:srgb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2">
                  <a:lumMod val="60000"/>
                  <a:lumOff val="40000"/>
                </a:schemeClr>
              </a:gs>
              <a:gs pos="72000">
                <a:srgbClr val="BEC88B"/>
              </a:gs>
              <a:gs pos="100000">
                <a:schemeClr val="accent6">
                  <a:lumMod val="60000"/>
                  <a:lumOff val="40000"/>
                </a:schemeClr>
              </a:gs>
              <a:gs pos="100000">
                <a:schemeClr val="accent4">
                  <a:lumMod val="40000"/>
                  <a:lumOff val="60000"/>
                </a:schemeClr>
              </a:gs>
              <a:gs pos="100000">
                <a:schemeClr val="accent5">
                  <a:lumMod val="60000"/>
                  <a:lumOff val="40000"/>
                </a:schemeClr>
              </a:gs>
            </a:gsLst>
            <a:lin ang="54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effectLst>
                    <a:outerShdw blurRad="50800" dist="50800" dir="5400000" sx="6000" sy="6000" algn="ctr" rotWithShape="0">
                      <a:srgbClr val="000000">
                        <a:alpha val="43137"/>
                      </a:srgb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Reports!$B$37</c:f>
              <c:strCache>
                <c:ptCount val="1"/>
                <c:pt idx="0">
                  <c:v>Total</c:v>
                </c:pt>
              </c:strCache>
            </c:strRef>
          </c:tx>
          <c:spPr>
            <a:gradFill flip="none" rotWithShape="1">
              <a:gsLst>
                <a:gs pos="0">
                  <a:schemeClr val="accent2">
                    <a:lumMod val="60000"/>
                    <a:lumOff val="40000"/>
                  </a:schemeClr>
                </a:gs>
                <a:gs pos="72000">
                  <a:srgbClr val="BEC88B"/>
                </a:gs>
                <a:gs pos="100000">
                  <a:schemeClr val="accent6">
                    <a:lumMod val="60000"/>
                    <a:lumOff val="40000"/>
                  </a:schemeClr>
                </a:gs>
                <a:gs pos="100000">
                  <a:schemeClr val="accent4">
                    <a:lumMod val="40000"/>
                    <a:lumOff val="60000"/>
                  </a:schemeClr>
                </a:gs>
                <a:gs pos="100000">
                  <a:schemeClr val="accent5">
                    <a:lumMod val="60000"/>
                    <a:lumOff val="40000"/>
                  </a:schemeClr>
                </a:gs>
              </a:gsLst>
              <a:lin ang="54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effectLst>
                      <a:outerShdw blurRad="50800" dist="50800" dir="5400000" sx="6000" sy="6000" algn="ctr" rotWithShape="0">
                        <a:srgbClr val="000000">
                          <a:alpha val="43137"/>
                        </a:srgbClr>
                      </a:outerShdw>
                    </a:effectLst>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Reports!$A$38:$A$42</c:f>
              <c:strCache>
                <c:ptCount val="4"/>
                <c:pt idx="0">
                  <c:v>Road</c:v>
                </c:pt>
                <c:pt idx="1">
                  <c:v>Air</c:v>
                </c:pt>
                <c:pt idx="2">
                  <c:v>Rail</c:v>
                </c:pt>
                <c:pt idx="3">
                  <c:v>Sea</c:v>
                </c:pt>
              </c:strCache>
            </c:strRef>
          </c:cat>
          <c:val>
            <c:numRef>
              <c:f>Reports!$B$38:$B$42</c:f>
              <c:numCache>
                <c:formatCode>"₹"\ #,##0.00</c:formatCode>
                <c:ptCount val="4"/>
                <c:pt idx="0">
                  <c:v>160.72134631132815</c:v>
                </c:pt>
                <c:pt idx="1">
                  <c:v>156.46382382094407</c:v>
                </c:pt>
                <c:pt idx="2">
                  <c:v>153.13474221088009</c:v>
                </c:pt>
                <c:pt idx="3">
                  <c:v>84.494994858806365</c:v>
                </c:pt>
              </c:numCache>
            </c:numRef>
          </c:val>
          <c:extLst>
            <c:ext xmlns:c16="http://schemas.microsoft.com/office/drawing/2014/chart" uri="{C3380CC4-5D6E-409C-BE32-E72D297353CC}">
              <c16:uniqueId val="{00000000-1131-46A6-862E-A9767304BD6B}"/>
            </c:ext>
          </c:extLst>
        </c:ser>
        <c:dLbls>
          <c:showLegendKey val="0"/>
          <c:showVal val="0"/>
          <c:showCatName val="0"/>
          <c:showSerName val="0"/>
          <c:showPercent val="0"/>
          <c:showBubbleSize val="0"/>
        </c:dLbls>
        <c:gapWidth val="219"/>
        <c:overlap val="-27"/>
        <c:axId val="381266336"/>
        <c:axId val="381279296"/>
      </c:barChart>
      <c:catAx>
        <c:axId val="381266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effectLst>
                  <a:outerShdw blurRad="50800" dist="50800" dir="5400000" sx="14000" sy="14000" algn="ctr" rotWithShape="0">
                    <a:srgbClr val="000000">
                      <a:alpha val="43137"/>
                    </a:srgbClr>
                  </a:outerShdw>
                </a:effectLst>
                <a:latin typeface="+mn-lt"/>
                <a:ea typeface="+mn-ea"/>
                <a:cs typeface="+mn-cs"/>
              </a:defRPr>
            </a:pPr>
            <a:endParaRPr lang="en-US"/>
          </a:p>
        </c:txPr>
        <c:crossAx val="381279296"/>
        <c:crosses val="autoZero"/>
        <c:auto val="1"/>
        <c:lblAlgn val="ctr"/>
        <c:lblOffset val="100"/>
        <c:noMultiLvlLbl val="0"/>
      </c:catAx>
      <c:valAx>
        <c:axId val="381279296"/>
        <c:scaling>
          <c:orientation val="minMax"/>
        </c:scaling>
        <c:delete val="0"/>
        <c:axPos val="l"/>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effectLst>
                  <a:outerShdw blurRad="50800" dist="50800" dir="5400000" sx="6000" sy="6000" algn="ctr" rotWithShape="0">
                    <a:srgbClr val="000000">
                      <a:alpha val="43137"/>
                    </a:srgbClr>
                  </a:outerShdw>
                </a:effectLst>
                <a:latin typeface="+mn-lt"/>
                <a:ea typeface="+mn-ea"/>
                <a:cs typeface="+mn-cs"/>
              </a:defRPr>
            </a:pPr>
            <a:endParaRPr lang="en-US"/>
          </a:p>
        </c:txPr>
        <c:crossAx val="3812663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effectLst>
            <a:outerShdw blurRad="50800" dist="50800" dir="5400000" sx="6000" sy="6000" algn="ctr" rotWithShape="0">
              <a:srgbClr val="000000">
                <a:alpha val="43137"/>
              </a:srgbClr>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 Inventory Optimization &amp; Performance Dashboard.xlsx]Reports!PivotTable9</c:name>
    <c:fmtId val="12"/>
  </c:pivotSource>
  <c:chart>
    <c:title>
      <c:tx>
        <c:rich>
          <a:bodyPr rot="0" spcFirstLastPara="1" vertOverflow="ellipsis" vert="horz" wrap="square" anchor="ctr" anchorCtr="1"/>
          <a:lstStyle/>
          <a:p>
            <a:pPr>
              <a:defRPr sz="1500" b="1" i="0" u="none" strike="noStrike" kern="1200" spc="0" baseline="0">
                <a:gradFill>
                  <a:gsLst>
                    <a:gs pos="0">
                      <a:schemeClr val="tx1">
                        <a:lumMod val="75000"/>
                        <a:lumOff val="25000"/>
                      </a:schemeClr>
                    </a:gs>
                    <a:gs pos="23000">
                      <a:schemeClr val="tx1">
                        <a:lumMod val="95000"/>
                        <a:lumOff val="5000"/>
                      </a:schemeClr>
                    </a:gs>
                    <a:gs pos="99000">
                      <a:schemeClr val="tx1">
                        <a:lumMod val="95000"/>
                        <a:lumOff val="5000"/>
                      </a:schemeClr>
                    </a:gs>
                    <a:gs pos="97000">
                      <a:schemeClr val="accent2">
                        <a:lumMod val="70000"/>
                      </a:schemeClr>
                    </a:gs>
                  </a:gsLst>
                  <a:path path="circle">
                    <a:fillToRect l="50000" t="50000" r="50000" b="50000"/>
                  </a:path>
                </a:gradFill>
                <a:latin typeface="+mn-lt"/>
                <a:ea typeface="+mn-ea"/>
                <a:cs typeface="+mn-cs"/>
              </a:defRPr>
            </a:pPr>
            <a:r>
              <a:rPr lang="en-US" sz="1400" b="1" i="0" baseline="0">
                <a:gradFill>
                  <a:gsLst>
                    <a:gs pos="0">
                      <a:schemeClr val="tx1">
                        <a:lumMod val="75000"/>
                        <a:lumOff val="25000"/>
                      </a:schemeClr>
                    </a:gs>
                    <a:gs pos="23000">
                      <a:schemeClr val="tx1">
                        <a:lumMod val="95000"/>
                        <a:lumOff val="5000"/>
                      </a:schemeClr>
                    </a:gs>
                    <a:gs pos="99000">
                      <a:schemeClr val="tx1">
                        <a:lumMod val="95000"/>
                        <a:lumOff val="5000"/>
                      </a:schemeClr>
                    </a:gs>
                    <a:gs pos="97000">
                      <a:schemeClr val="accent2">
                        <a:lumMod val="70000"/>
                      </a:schemeClr>
                    </a:gs>
                  </a:gsLst>
                  <a:path path="circle">
                    <a:fillToRect l="50000" t="50000" r="50000" b="50000"/>
                  </a:path>
                </a:gradFill>
              </a:rPr>
              <a:t>Lead Time By Supplier</a:t>
            </a:r>
          </a:p>
        </c:rich>
      </c:tx>
      <c:overlay val="0"/>
      <c:spPr>
        <a:noFill/>
        <a:ln>
          <a:noFill/>
        </a:ln>
        <a:effectLst/>
      </c:spPr>
      <c:txPr>
        <a:bodyPr rot="0" spcFirstLastPara="1" vertOverflow="ellipsis" vert="horz" wrap="square" anchor="ctr" anchorCtr="1"/>
        <a:lstStyle/>
        <a:p>
          <a:pPr>
            <a:defRPr sz="1500" b="1" i="0" u="none" strike="noStrike" kern="1200" spc="0" baseline="0">
              <a:gradFill>
                <a:gsLst>
                  <a:gs pos="0">
                    <a:schemeClr val="tx1">
                      <a:lumMod val="75000"/>
                      <a:lumOff val="25000"/>
                    </a:schemeClr>
                  </a:gs>
                  <a:gs pos="23000">
                    <a:schemeClr val="tx1">
                      <a:lumMod val="95000"/>
                      <a:lumOff val="5000"/>
                    </a:schemeClr>
                  </a:gs>
                  <a:gs pos="99000">
                    <a:schemeClr val="tx1">
                      <a:lumMod val="95000"/>
                      <a:lumOff val="5000"/>
                    </a:schemeClr>
                  </a:gs>
                  <a:gs pos="97000">
                    <a:schemeClr val="accent2">
                      <a:lumMod val="70000"/>
                    </a:schemeClr>
                  </a:gs>
                </a:gsLst>
                <a:path path="circle">
                  <a:fillToRect l="50000" t="50000" r="50000" b="50000"/>
                </a:path>
              </a:gra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rgbClr val="92D050"/>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Reports!$B$27</c:f>
              <c:strCache>
                <c:ptCount val="1"/>
                <c:pt idx="0">
                  <c:v>Total</c:v>
                </c:pt>
              </c:strCache>
            </c:strRef>
          </c:tx>
          <c:spPr>
            <a:ln w="28575" cap="rnd">
              <a:solidFill>
                <a:schemeClr val="accent1"/>
              </a:solidFill>
              <a:round/>
            </a:ln>
            <a:effectLst/>
          </c:spPr>
          <c:marker>
            <c:symbol val="circle"/>
            <c:size val="5"/>
            <c:spPr>
              <a:solidFill>
                <a:srgbClr val="92D050"/>
              </a:solidFill>
              <a:ln w="9525">
                <a:solidFill>
                  <a:schemeClr val="accent1"/>
                </a:solidFill>
              </a:ln>
              <a:effectLst/>
            </c:spPr>
          </c:marker>
          <c:cat>
            <c:strRef>
              <c:f>Reports!$A$28:$A$33</c:f>
              <c:strCache>
                <c:ptCount val="5"/>
                <c:pt idx="0">
                  <c:v>Supplier 1</c:v>
                </c:pt>
                <c:pt idx="1">
                  <c:v>Supplier 2</c:v>
                </c:pt>
                <c:pt idx="2">
                  <c:v>Supplier 3</c:v>
                </c:pt>
                <c:pt idx="3">
                  <c:v>Supplier 4</c:v>
                </c:pt>
                <c:pt idx="4">
                  <c:v>Supplier 5</c:v>
                </c:pt>
              </c:strCache>
            </c:strRef>
          </c:cat>
          <c:val>
            <c:numRef>
              <c:f>Reports!$B$28:$B$33</c:f>
              <c:numCache>
                <c:formatCode>0.00</c:formatCode>
                <c:ptCount val="5"/>
                <c:pt idx="0">
                  <c:v>14.777777777777779</c:v>
                </c:pt>
                <c:pt idx="1">
                  <c:v>18.545454545454547</c:v>
                </c:pt>
                <c:pt idx="2">
                  <c:v>20.133333333333333</c:v>
                </c:pt>
                <c:pt idx="3">
                  <c:v>15.222222222222221</c:v>
                </c:pt>
                <c:pt idx="4">
                  <c:v>18.055555555555557</c:v>
                </c:pt>
              </c:numCache>
            </c:numRef>
          </c:val>
          <c:smooth val="0"/>
          <c:extLst>
            <c:ext xmlns:c16="http://schemas.microsoft.com/office/drawing/2014/chart" uri="{C3380CC4-5D6E-409C-BE32-E72D297353CC}">
              <c16:uniqueId val="{00000000-0A51-4C34-8B64-688B70542E30}"/>
            </c:ext>
          </c:extLst>
        </c:ser>
        <c:dLbls>
          <c:showLegendKey val="0"/>
          <c:showVal val="0"/>
          <c:showCatName val="0"/>
          <c:showSerName val="0"/>
          <c:showPercent val="0"/>
          <c:showBubbleSize val="0"/>
        </c:dLbls>
        <c:marker val="1"/>
        <c:smooth val="0"/>
        <c:axId val="537486624"/>
        <c:axId val="537476544"/>
      </c:lineChart>
      <c:catAx>
        <c:axId val="537486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7476544"/>
        <c:crosses val="autoZero"/>
        <c:auto val="1"/>
        <c:lblAlgn val="ctr"/>
        <c:lblOffset val="100"/>
        <c:noMultiLvlLbl val="0"/>
      </c:catAx>
      <c:valAx>
        <c:axId val="53747654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7486624"/>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 Inventory Optimization &amp; Performance Dashboard.xlsx]Reports!PivotTable8</c:name>
    <c:fmtId val="23"/>
  </c:pivotSource>
  <c:chart>
    <c:title>
      <c:tx>
        <c:rich>
          <a:bodyPr rot="0" spcFirstLastPara="1" vertOverflow="ellipsis" vert="horz" wrap="square" anchor="ctr" anchorCtr="1"/>
          <a:lstStyle/>
          <a:p>
            <a:pPr>
              <a:defRPr sz="1400" b="0" i="0" u="none" strike="noStrike" kern="1200" spc="0" baseline="0">
                <a:gradFill>
                  <a:gsLst>
                    <a:gs pos="0">
                      <a:schemeClr val="tx1">
                        <a:lumMod val="75000"/>
                        <a:lumOff val="25000"/>
                      </a:schemeClr>
                    </a:gs>
                    <a:gs pos="23000">
                      <a:schemeClr val="tx1">
                        <a:lumMod val="95000"/>
                        <a:lumOff val="5000"/>
                      </a:schemeClr>
                    </a:gs>
                    <a:gs pos="99000">
                      <a:schemeClr val="tx1">
                        <a:lumMod val="95000"/>
                        <a:lumOff val="5000"/>
                      </a:schemeClr>
                    </a:gs>
                    <a:gs pos="97000">
                      <a:schemeClr val="accent2">
                        <a:lumMod val="70000"/>
                      </a:schemeClr>
                    </a:gs>
                  </a:gsLst>
                  <a:path path="circle">
                    <a:fillToRect l="50000" t="50000" r="50000" b="50000"/>
                  </a:path>
                </a:gradFill>
                <a:latin typeface="+mn-lt"/>
                <a:ea typeface="+mn-ea"/>
                <a:cs typeface="+mn-cs"/>
              </a:defRPr>
            </a:pPr>
            <a:r>
              <a:rPr lang="en-IN" sz="1400" b="1" i="0" u="none" strike="noStrike" baseline="0"/>
              <a:t>Stock Level by Product</a:t>
            </a:r>
            <a:endParaRPr lang="en-US" b="1" i="0" baseline="0">
              <a:gradFill>
                <a:gsLst>
                  <a:gs pos="0">
                    <a:schemeClr val="tx1">
                      <a:lumMod val="75000"/>
                      <a:lumOff val="25000"/>
                    </a:schemeClr>
                  </a:gs>
                  <a:gs pos="23000">
                    <a:schemeClr val="tx1">
                      <a:lumMod val="95000"/>
                      <a:lumOff val="5000"/>
                    </a:schemeClr>
                  </a:gs>
                  <a:gs pos="99000">
                    <a:schemeClr val="tx1">
                      <a:lumMod val="95000"/>
                      <a:lumOff val="5000"/>
                    </a:schemeClr>
                  </a:gs>
                  <a:gs pos="97000">
                    <a:schemeClr val="accent2">
                      <a:lumMod val="70000"/>
                    </a:schemeClr>
                  </a:gs>
                </a:gsLst>
                <a:path path="circle">
                  <a:fillToRect l="50000" t="50000" r="50000" b="50000"/>
                </a:path>
              </a:gradFill>
            </a:endParaRPr>
          </a:p>
        </c:rich>
      </c:tx>
      <c:overlay val="0"/>
      <c:spPr>
        <a:noFill/>
        <a:ln>
          <a:noFill/>
        </a:ln>
        <a:effectLst/>
      </c:spPr>
    </c:title>
    <c:autoTitleDeleted val="0"/>
    <c:pivotFmts>
      <c:pivotFmt>
        <c:idx val="0"/>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8"/>
        <c:marker>
          <c:symbol val="none"/>
        </c:marker>
        <c:dLbl>
          <c:idx val="0"/>
          <c:delete val="1"/>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0"/>
        <c:marker>
          <c:symbol val="none"/>
        </c:marker>
        <c:dLbl>
          <c:idx val="0"/>
          <c:delete val="1"/>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marker>
          <c:symbol val="none"/>
        </c:marker>
        <c:dLbl>
          <c:idx val="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Reports!$L$3</c:f>
              <c:strCache>
                <c:ptCount val="1"/>
                <c:pt idx="0">
                  <c:v>Low Stock Count</c:v>
                </c:pt>
              </c:strCache>
            </c:strRef>
          </c:tx>
          <c:spPr>
            <a:solidFill>
              <a:schemeClr val="accent1"/>
            </a:solidFill>
            <a:ln>
              <a:noFill/>
            </a:ln>
            <a:effectLst/>
          </c:spPr>
          <c:invertIfNegative val="0"/>
          <c:dLbls>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Reports!$K$4:$K$7</c:f>
              <c:strCache>
                <c:ptCount val="3"/>
                <c:pt idx="0">
                  <c:v>skincare</c:v>
                </c:pt>
                <c:pt idx="1">
                  <c:v>haircare</c:v>
                </c:pt>
                <c:pt idx="2">
                  <c:v>cosmetics</c:v>
                </c:pt>
              </c:strCache>
            </c:strRef>
          </c:cat>
          <c:val>
            <c:numRef>
              <c:f>Reports!$L$4:$L$7</c:f>
              <c:numCache>
                <c:formatCode>General</c:formatCode>
                <c:ptCount val="3"/>
                <c:pt idx="0">
                  <c:v>13</c:v>
                </c:pt>
                <c:pt idx="1">
                  <c:v>9</c:v>
                </c:pt>
                <c:pt idx="2">
                  <c:v>5</c:v>
                </c:pt>
              </c:numCache>
            </c:numRef>
          </c:val>
          <c:extLst>
            <c:ext xmlns:c16="http://schemas.microsoft.com/office/drawing/2014/chart" uri="{C3380CC4-5D6E-409C-BE32-E72D297353CC}">
              <c16:uniqueId val="{00000000-C734-40B2-8023-620BB385D5A1}"/>
            </c:ext>
          </c:extLst>
        </c:ser>
        <c:ser>
          <c:idx val="1"/>
          <c:order val="1"/>
          <c:tx>
            <c:strRef>
              <c:f>Reports!$M$3</c:f>
              <c:strCache>
                <c:ptCount val="1"/>
                <c:pt idx="0">
                  <c:v>High Stock </c:v>
                </c:pt>
              </c:strCache>
            </c:strRef>
          </c:tx>
          <c:invertIfNegative val="0"/>
          <c:dLbls>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Reports!$K$4:$K$7</c:f>
              <c:strCache>
                <c:ptCount val="3"/>
                <c:pt idx="0">
                  <c:v>skincare</c:v>
                </c:pt>
                <c:pt idx="1">
                  <c:v>haircare</c:v>
                </c:pt>
                <c:pt idx="2">
                  <c:v>cosmetics</c:v>
                </c:pt>
              </c:strCache>
            </c:strRef>
          </c:cat>
          <c:val>
            <c:numRef>
              <c:f>Reports!$M$4:$M$7</c:f>
              <c:numCache>
                <c:formatCode>General</c:formatCode>
                <c:ptCount val="3"/>
                <c:pt idx="0">
                  <c:v>16</c:v>
                </c:pt>
                <c:pt idx="1">
                  <c:v>16</c:v>
                </c:pt>
                <c:pt idx="2">
                  <c:v>15</c:v>
                </c:pt>
              </c:numCache>
            </c:numRef>
          </c:val>
          <c:extLst>
            <c:ext xmlns:c16="http://schemas.microsoft.com/office/drawing/2014/chart" uri="{C3380CC4-5D6E-409C-BE32-E72D297353CC}">
              <c16:uniqueId val="{00000001-C734-40B2-8023-620BB385D5A1}"/>
            </c:ext>
          </c:extLst>
        </c:ser>
        <c:dLbls>
          <c:showLegendKey val="0"/>
          <c:showVal val="0"/>
          <c:showCatName val="0"/>
          <c:showSerName val="0"/>
          <c:showPercent val="0"/>
          <c:showBubbleSize val="0"/>
        </c:dLbls>
        <c:gapWidth val="219"/>
        <c:axId val="537419424"/>
        <c:axId val="537428544"/>
      </c:barChart>
      <c:catAx>
        <c:axId val="537419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7428544"/>
        <c:crosses val="autoZero"/>
        <c:auto val="1"/>
        <c:lblAlgn val="ctr"/>
        <c:lblOffset val="100"/>
        <c:noMultiLvlLbl val="0"/>
      </c:catAx>
      <c:valAx>
        <c:axId val="5374285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7419424"/>
        <c:crosses val="autoZero"/>
        <c:crossBetween val="between"/>
      </c:valAx>
    </c:plotArea>
    <c:plotVisOnly val="1"/>
    <c:dispBlanksAs val="gap"/>
    <c:showDLblsOverMax val="0"/>
    <c:extLst/>
  </c:chart>
  <c:spPr>
    <a:noFill/>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 Inventory Optimization &amp; Performance Dashboard.xlsx]Reports!PivotTable11</c:name>
    <c:fmtId val="8"/>
  </c:pivotSource>
  <c:chart>
    <c:title>
      <c:tx>
        <c:rich>
          <a:bodyPr rot="0" spcFirstLastPara="1" vertOverflow="ellipsis" vert="horz" wrap="square" anchor="ctr" anchorCtr="1"/>
          <a:lstStyle/>
          <a:p>
            <a:pPr>
              <a:defRPr sz="1400" b="0" i="0" u="none" strike="noStrike" kern="1200" spc="0" baseline="0">
                <a:gradFill>
                  <a:gsLst>
                    <a:gs pos="0">
                      <a:schemeClr val="tx1">
                        <a:lumMod val="75000"/>
                        <a:lumOff val="25000"/>
                      </a:schemeClr>
                    </a:gs>
                    <a:gs pos="23000">
                      <a:schemeClr val="tx1">
                        <a:lumMod val="95000"/>
                        <a:lumOff val="5000"/>
                      </a:schemeClr>
                    </a:gs>
                    <a:gs pos="99000">
                      <a:schemeClr val="tx1">
                        <a:lumMod val="95000"/>
                        <a:lumOff val="5000"/>
                      </a:schemeClr>
                    </a:gs>
                    <a:gs pos="97000">
                      <a:schemeClr val="accent2">
                        <a:lumMod val="70000"/>
                      </a:schemeClr>
                    </a:gs>
                  </a:gsLst>
                  <a:path path="circle">
                    <a:fillToRect l="50000" t="50000" r="50000" b="50000"/>
                  </a:path>
                </a:gradFill>
                <a:latin typeface="+mn-lt"/>
                <a:ea typeface="+mn-ea"/>
                <a:cs typeface="+mn-cs"/>
              </a:defRPr>
            </a:pPr>
            <a:r>
              <a:rPr lang="en-IN" sz="1400" b="1" i="0" u="none" strike="noStrike" baseline="0"/>
              <a:t>Revenue Contribution by City</a:t>
            </a:r>
            <a:endParaRPr lang="en-US" b="1" i="0" baseline="0">
              <a:gradFill>
                <a:gsLst>
                  <a:gs pos="0">
                    <a:schemeClr val="tx1">
                      <a:lumMod val="75000"/>
                      <a:lumOff val="25000"/>
                    </a:schemeClr>
                  </a:gs>
                  <a:gs pos="23000">
                    <a:schemeClr val="tx1">
                      <a:lumMod val="95000"/>
                      <a:lumOff val="5000"/>
                    </a:schemeClr>
                  </a:gs>
                  <a:gs pos="99000">
                    <a:schemeClr val="tx1">
                      <a:lumMod val="95000"/>
                      <a:lumOff val="5000"/>
                    </a:schemeClr>
                  </a:gs>
                  <a:gs pos="97000">
                    <a:schemeClr val="accent2">
                      <a:lumMod val="70000"/>
                    </a:schemeClr>
                  </a:gs>
                </a:gsLst>
                <a:path path="circle">
                  <a:fillToRect l="50000" t="50000" r="50000" b="50000"/>
                </a:path>
              </a:gradFill>
            </a:endParaRPr>
          </a:p>
        </c:rich>
      </c:tx>
      <c:overlay val="0"/>
      <c:spPr>
        <a:noFill/>
        <a:ln>
          <a:noFill/>
        </a:ln>
        <a:effectLst/>
      </c:spPr>
      <c:txPr>
        <a:bodyPr rot="0" spcFirstLastPara="1" vertOverflow="ellipsis" vert="horz" wrap="square" anchor="ctr" anchorCtr="1"/>
        <a:lstStyle/>
        <a:p>
          <a:pPr>
            <a:defRPr sz="1400" b="0" i="0" u="none" strike="noStrike" kern="1200" spc="0" baseline="0">
              <a:gradFill>
                <a:gsLst>
                  <a:gs pos="0">
                    <a:schemeClr val="tx1">
                      <a:lumMod val="75000"/>
                      <a:lumOff val="25000"/>
                    </a:schemeClr>
                  </a:gs>
                  <a:gs pos="23000">
                    <a:schemeClr val="tx1">
                      <a:lumMod val="95000"/>
                      <a:lumOff val="5000"/>
                    </a:schemeClr>
                  </a:gs>
                  <a:gs pos="99000">
                    <a:schemeClr val="tx1">
                      <a:lumMod val="95000"/>
                      <a:lumOff val="5000"/>
                    </a:schemeClr>
                  </a:gs>
                  <a:gs pos="97000">
                    <a:schemeClr val="accent2">
                      <a:lumMod val="70000"/>
                    </a:schemeClr>
                  </a:gs>
                </a:gsLst>
                <a:path path="circle">
                  <a:fillToRect l="50000" t="50000" r="50000" b="50000"/>
                </a:path>
              </a:gra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gradFill flip="none" rotWithShape="1">
            <a:gsLst>
              <a:gs pos="0">
                <a:srgbClr val="92D050"/>
              </a:gs>
              <a:gs pos="35000">
                <a:schemeClr val="accent4">
                  <a:lumMod val="60000"/>
                  <a:lumOff val="40000"/>
                </a:schemeClr>
              </a:gs>
              <a:gs pos="100000">
                <a:schemeClr val="accent6">
                  <a:lumMod val="75000"/>
                </a:schemeClr>
              </a:gs>
            </a:gsLst>
            <a:path path="circle">
              <a:fillToRect l="50000" t="-80000" r="50000" b="180000"/>
            </a:path>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Reports!$E$19</c:f>
              <c:strCache>
                <c:ptCount val="1"/>
                <c:pt idx="0">
                  <c:v>Total</c:v>
                </c:pt>
              </c:strCache>
            </c:strRef>
          </c:tx>
          <c:spPr>
            <a:gradFill flip="none" rotWithShape="1">
              <a:gsLst>
                <a:gs pos="0">
                  <a:srgbClr val="92D050"/>
                </a:gs>
                <a:gs pos="35000">
                  <a:schemeClr val="accent4">
                    <a:lumMod val="60000"/>
                    <a:lumOff val="40000"/>
                  </a:schemeClr>
                </a:gs>
                <a:gs pos="100000">
                  <a:schemeClr val="accent6">
                    <a:lumMod val="75000"/>
                  </a:schemeClr>
                </a:gs>
              </a:gsLst>
              <a:path path="circle">
                <a:fillToRect l="50000" t="-80000" r="50000" b="180000"/>
              </a:path>
              <a:tileRect/>
            </a:gradFill>
            <a:ln>
              <a:noFill/>
            </a:ln>
            <a:effectLst/>
          </c:spPr>
          <c:invertIfNegative val="0"/>
          <c:cat>
            <c:strRef>
              <c:f>Reports!$D$20:$D$25</c:f>
              <c:strCache>
                <c:ptCount val="5"/>
                <c:pt idx="0">
                  <c:v>Mumbai</c:v>
                </c:pt>
                <c:pt idx="1">
                  <c:v>Kolkata</c:v>
                </c:pt>
                <c:pt idx="2">
                  <c:v>Delhi</c:v>
                </c:pt>
                <c:pt idx="3">
                  <c:v>Chennai</c:v>
                </c:pt>
                <c:pt idx="4">
                  <c:v>Bangalore</c:v>
                </c:pt>
              </c:strCache>
            </c:strRef>
          </c:cat>
          <c:val>
            <c:numRef>
              <c:f>Reports!$E$20:$E$25</c:f>
              <c:numCache>
                <c:formatCode>"₹"\ #,##0.00</c:formatCode>
                <c:ptCount val="5"/>
                <c:pt idx="0">
                  <c:v>137755.02687746938</c:v>
                </c:pt>
                <c:pt idx="1">
                  <c:v>137077.5510053811</c:v>
                </c:pt>
                <c:pt idx="2">
                  <c:v>81027.701224853008</c:v>
                </c:pt>
                <c:pt idx="3">
                  <c:v>119142.81574806941</c:v>
                </c:pt>
                <c:pt idx="4">
                  <c:v>102601.72388223576</c:v>
                </c:pt>
              </c:numCache>
            </c:numRef>
          </c:val>
          <c:extLst>
            <c:ext xmlns:c16="http://schemas.microsoft.com/office/drawing/2014/chart" uri="{C3380CC4-5D6E-409C-BE32-E72D297353CC}">
              <c16:uniqueId val="{00000000-7DA6-4AE8-B8B3-401476C485E3}"/>
            </c:ext>
          </c:extLst>
        </c:ser>
        <c:dLbls>
          <c:showLegendKey val="0"/>
          <c:showVal val="0"/>
          <c:showCatName val="0"/>
          <c:showSerName val="0"/>
          <c:showPercent val="0"/>
          <c:showBubbleSize val="0"/>
        </c:dLbls>
        <c:gapWidth val="219"/>
        <c:axId val="537419424"/>
        <c:axId val="537428544"/>
      </c:barChart>
      <c:catAx>
        <c:axId val="537419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7428544"/>
        <c:crosses val="autoZero"/>
        <c:auto val="1"/>
        <c:lblAlgn val="ctr"/>
        <c:lblOffset val="100"/>
        <c:noMultiLvlLbl val="0"/>
      </c:catAx>
      <c:valAx>
        <c:axId val="537428544"/>
        <c:scaling>
          <c:orientation val="minMax"/>
        </c:scaling>
        <c:delete val="0"/>
        <c:axPos val="l"/>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74194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 Inventory Optimization &amp; Performance Dashboard.xlsx]Reports!PivotTable6</c:name>
    <c:fmtId val="17"/>
  </c:pivotSource>
  <c:chart>
    <c:title>
      <c:tx>
        <c:rich>
          <a:bodyPr rot="0" spcFirstLastPara="1" vertOverflow="ellipsis" vert="horz" wrap="square" anchor="ctr" anchorCtr="1"/>
          <a:lstStyle/>
          <a:p>
            <a:pPr>
              <a:defRPr sz="1400" b="0" i="0" u="none" strike="noStrike" kern="1200" spc="0" baseline="0">
                <a:gradFill>
                  <a:gsLst>
                    <a:gs pos="0">
                      <a:schemeClr val="tx1">
                        <a:lumMod val="75000"/>
                        <a:lumOff val="25000"/>
                      </a:schemeClr>
                    </a:gs>
                    <a:gs pos="23000">
                      <a:schemeClr val="tx1">
                        <a:lumMod val="95000"/>
                        <a:lumOff val="5000"/>
                      </a:schemeClr>
                    </a:gs>
                    <a:gs pos="99000">
                      <a:schemeClr val="tx1">
                        <a:lumMod val="95000"/>
                        <a:lumOff val="5000"/>
                      </a:schemeClr>
                    </a:gs>
                    <a:gs pos="97000">
                      <a:schemeClr val="accent2">
                        <a:lumMod val="70000"/>
                      </a:schemeClr>
                    </a:gs>
                  </a:gsLst>
                  <a:path path="circle">
                    <a:fillToRect l="50000" t="50000" r="50000" b="50000"/>
                  </a:path>
                </a:gradFill>
                <a:latin typeface="+mn-lt"/>
                <a:ea typeface="+mn-ea"/>
                <a:cs typeface="+mn-cs"/>
              </a:defRPr>
            </a:pPr>
            <a:r>
              <a:rPr lang="en-US" b="1" i="0" baseline="0">
                <a:gradFill>
                  <a:gsLst>
                    <a:gs pos="0">
                      <a:schemeClr val="tx1">
                        <a:lumMod val="75000"/>
                        <a:lumOff val="25000"/>
                      </a:schemeClr>
                    </a:gs>
                    <a:gs pos="23000">
                      <a:schemeClr val="tx1">
                        <a:lumMod val="95000"/>
                        <a:lumOff val="5000"/>
                      </a:schemeClr>
                    </a:gs>
                    <a:gs pos="99000">
                      <a:schemeClr val="tx1">
                        <a:lumMod val="95000"/>
                        <a:lumOff val="5000"/>
                      </a:schemeClr>
                    </a:gs>
                    <a:gs pos="97000">
                      <a:schemeClr val="accent2">
                        <a:lumMod val="70000"/>
                      </a:schemeClr>
                    </a:gs>
                  </a:gsLst>
                  <a:path path="circle">
                    <a:fillToRect l="50000" t="50000" r="50000" b="50000"/>
                  </a:path>
                </a:gradFill>
              </a:rPr>
              <a:t>Total Revenue By Product</a:t>
            </a:r>
          </a:p>
        </c:rich>
      </c:tx>
      <c:overlay val="0"/>
      <c:spPr>
        <a:noFill/>
        <a:ln>
          <a:noFill/>
        </a:ln>
        <a:effectLst/>
      </c:spPr>
      <c:txPr>
        <a:bodyPr rot="0" spcFirstLastPara="1" vertOverflow="ellipsis" vert="horz" wrap="square" anchor="ctr" anchorCtr="1"/>
        <a:lstStyle/>
        <a:p>
          <a:pPr>
            <a:defRPr sz="1400" b="0" i="0" u="none" strike="noStrike" kern="1200" spc="0" baseline="0">
              <a:gradFill>
                <a:gsLst>
                  <a:gs pos="0">
                    <a:schemeClr val="tx1">
                      <a:lumMod val="75000"/>
                      <a:lumOff val="25000"/>
                    </a:schemeClr>
                  </a:gs>
                  <a:gs pos="23000">
                    <a:schemeClr val="tx1">
                      <a:lumMod val="95000"/>
                      <a:lumOff val="5000"/>
                    </a:schemeClr>
                  </a:gs>
                  <a:gs pos="99000">
                    <a:schemeClr val="tx1">
                      <a:lumMod val="95000"/>
                      <a:lumOff val="5000"/>
                    </a:schemeClr>
                  </a:gs>
                  <a:gs pos="97000">
                    <a:schemeClr val="accent2">
                      <a:lumMod val="70000"/>
                    </a:schemeClr>
                  </a:gs>
                </a:gsLst>
                <a:path path="circle">
                  <a:fillToRect l="50000" t="50000" r="50000" b="50000"/>
                </a:path>
              </a:gra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gradFill>
            <a:gsLst>
              <a:gs pos="0">
                <a:schemeClr val="accent2">
                  <a:lumMod val="89000"/>
                </a:schemeClr>
              </a:gs>
              <a:gs pos="23000">
                <a:schemeClr val="accent2">
                  <a:lumMod val="89000"/>
                </a:schemeClr>
              </a:gs>
              <a:gs pos="69000">
                <a:schemeClr val="accent2">
                  <a:lumMod val="75000"/>
                </a:schemeClr>
              </a:gs>
              <a:gs pos="97000">
                <a:schemeClr val="accent2">
                  <a:lumMod val="70000"/>
                </a:schemeClr>
              </a:gs>
            </a:gsLst>
            <a:path path="circle">
              <a:fillToRect l="50000" t="50000" r="50000" b="50000"/>
            </a:path>
          </a:gra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gradFill>
            <a:gsLst>
              <a:gs pos="0">
                <a:schemeClr val="accent2">
                  <a:lumMod val="89000"/>
                </a:schemeClr>
              </a:gs>
              <a:gs pos="23000">
                <a:schemeClr val="accent2">
                  <a:lumMod val="89000"/>
                </a:schemeClr>
              </a:gs>
              <a:gs pos="69000">
                <a:schemeClr val="accent2">
                  <a:lumMod val="75000"/>
                </a:schemeClr>
              </a:gs>
              <a:gs pos="97000">
                <a:schemeClr val="accent2">
                  <a:lumMod val="70000"/>
                </a:schemeClr>
              </a:gs>
            </a:gsLst>
            <a:path path="circle">
              <a:fillToRect l="50000" t="50000" r="50000" b="50000"/>
            </a:path>
          </a:gradFill>
          <a:ln w="19050">
            <a:solidFill>
              <a:schemeClr val="lt1"/>
            </a:solidFill>
          </a:ln>
          <a:effectLst/>
        </c:spPr>
      </c:pivotFmt>
      <c:pivotFmt>
        <c:idx val="15"/>
        <c:spPr>
          <a:gradFill>
            <a:gsLst>
              <a:gs pos="0">
                <a:schemeClr val="accent2">
                  <a:lumMod val="89000"/>
                </a:schemeClr>
              </a:gs>
              <a:gs pos="23000">
                <a:schemeClr val="accent2">
                  <a:lumMod val="89000"/>
                </a:schemeClr>
              </a:gs>
              <a:gs pos="69000">
                <a:schemeClr val="accent2">
                  <a:lumMod val="75000"/>
                </a:schemeClr>
              </a:gs>
              <a:gs pos="97000">
                <a:schemeClr val="accent2">
                  <a:lumMod val="70000"/>
                </a:schemeClr>
              </a:gs>
            </a:gsLst>
            <a:path path="circle">
              <a:fillToRect l="50000" t="50000" r="50000" b="50000"/>
            </a:path>
          </a:gradFill>
          <a:ln w="19050">
            <a:solidFill>
              <a:schemeClr val="lt1"/>
            </a:solidFill>
          </a:ln>
          <a:effectLst/>
        </c:spPr>
      </c:pivotFmt>
      <c:pivotFmt>
        <c:idx val="16"/>
        <c:spPr>
          <a:gradFill>
            <a:gsLst>
              <a:gs pos="0">
                <a:schemeClr val="accent2">
                  <a:lumMod val="89000"/>
                </a:schemeClr>
              </a:gs>
              <a:gs pos="23000">
                <a:schemeClr val="accent2">
                  <a:lumMod val="89000"/>
                </a:schemeClr>
              </a:gs>
              <a:gs pos="69000">
                <a:schemeClr val="accent2">
                  <a:lumMod val="75000"/>
                </a:schemeClr>
              </a:gs>
              <a:gs pos="97000">
                <a:schemeClr val="accent2">
                  <a:lumMod val="70000"/>
                </a:schemeClr>
              </a:gs>
            </a:gsLst>
            <a:path path="circle">
              <a:fillToRect l="50000" t="50000" r="50000" b="50000"/>
            </a:path>
          </a:gradFill>
          <a:ln w="19050">
            <a:solidFill>
              <a:schemeClr val="lt1"/>
            </a:solidFill>
          </a:ln>
          <a:effectLst/>
        </c:spPr>
      </c:pivotFmt>
    </c:pivotFmts>
    <c:plotArea>
      <c:layout/>
      <c:barChart>
        <c:barDir val="bar"/>
        <c:grouping val="clustered"/>
        <c:varyColors val="0"/>
        <c:ser>
          <c:idx val="0"/>
          <c:order val="0"/>
          <c:tx>
            <c:strRef>
              <c:f>Reports!$B$21</c:f>
              <c:strCache>
                <c:ptCount val="1"/>
                <c:pt idx="0">
                  <c:v>Total</c:v>
                </c:pt>
              </c:strCache>
            </c:strRef>
          </c:tx>
          <c:spPr>
            <a:gradFill>
              <a:gsLst>
                <a:gs pos="0">
                  <a:schemeClr val="accent2">
                    <a:lumMod val="89000"/>
                  </a:schemeClr>
                </a:gs>
                <a:gs pos="23000">
                  <a:schemeClr val="accent2">
                    <a:lumMod val="89000"/>
                  </a:schemeClr>
                </a:gs>
                <a:gs pos="69000">
                  <a:schemeClr val="accent2">
                    <a:lumMod val="75000"/>
                  </a:schemeClr>
                </a:gs>
                <a:gs pos="97000">
                  <a:schemeClr val="accent2">
                    <a:lumMod val="70000"/>
                  </a:schemeClr>
                </a:gs>
              </a:gsLst>
              <a:path path="circle">
                <a:fillToRect l="50000" t="50000" r="50000" b="50000"/>
              </a:path>
            </a:gradFill>
            <a:ln w="19050">
              <a:solidFill>
                <a:schemeClr val="lt1"/>
              </a:solidFill>
            </a:ln>
            <a:effectLst/>
          </c:spPr>
          <c:invertIfNegative val="0"/>
          <c:dPt>
            <c:idx val="0"/>
            <c:invertIfNegative val="0"/>
            <c:bubble3D val="0"/>
            <c:spPr>
              <a:gradFill>
                <a:gsLst>
                  <a:gs pos="0">
                    <a:schemeClr val="accent2">
                      <a:lumMod val="89000"/>
                    </a:schemeClr>
                  </a:gs>
                  <a:gs pos="23000">
                    <a:schemeClr val="accent2">
                      <a:lumMod val="89000"/>
                    </a:schemeClr>
                  </a:gs>
                  <a:gs pos="69000">
                    <a:schemeClr val="accent2">
                      <a:lumMod val="75000"/>
                    </a:schemeClr>
                  </a:gs>
                  <a:gs pos="97000">
                    <a:schemeClr val="accent2">
                      <a:lumMod val="70000"/>
                    </a:schemeClr>
                  </a:gs>
                </a:gsLst>
                <a:path path="circle">
                  <a:fillToRect l="50000" t="50000" r="50000" b="50000"/>
                </a:path>
              </a:gradFill>
              <a:ln w="19050">
                <a:solidFill>
                  <a:schemeClr val="lt1"/>
                </a:solidFill>
              </a:ln>
              <a:effectLst/>
            </c:spPr>
            <c:extLst>
              <c:ext xmlns:c16="http://schemas.microsoft.com/office/drawing/2014/chart" uri="{C3380CC4-5D6E-409C-BE32-E72D297353CC}">
                <c16:uniqueId val="{00000001-D729-449D-B357-B90766BD1269}"/>
              </c:ext>
            </c:extLst>
          </c:dPt>
          <c:dPt>
            <c:idx val="1"/>
            <c:invertIfNegative val="0"/>
            <c:bubble3D val="0"/>
            <c:spPr>
              <a:gradFill>
                <a:gsLst>
                  <a:gs pos="0">
                    <a:schemeClr val="accent2">
                      <a:lumMod val="89000"/>
                    </a:schemeClr>
                  </a:gs>
                  <a:gs pos="23000">
                    <a:schemeClr val="accent2">
                      <a:lumMod val="89000"/>
                    </a:schemeClr>
                  </a:gs>
                  <a:gs pos="69000">
                    <a:schemeClr val="accent2">
                      <a:lumMod val="75000"/>
                    </a:schemeClr>
                  </a:gs>
                  <a:gs pos="97000">
                    <a:schemeClr val="accent2">
                      <a:lumMod val="70000"/>
                    </a:schemeClr>
                  </a:gs>
                </a:gsLst>
                <a:path path="circle">
                  <a:fillToRect l="50000" t="50000" r="50000" b="50000"/>
                </a:path>
              </a:gradFill>
              <a:ln w="19050">
                <a:solidFill>
                  <a:schemeClr val="lt1"/>
                </a:solidFill>
              </a:ln>
              <a:effectLst/>
            </c:spPr>
            <c:extLst>
              <c:ext xmlns:c16="http://schemas.microsoft.com/office/drawing/2014/chart" uri="{C3380CC4-5D6E-409C-BE32-E72D297353CC}">
                <c16:uniqueId val="{00000003-D729-449D-B357-B90766BD1269}"/>
              </c:ext>
            </c:extLst>
          </c:dPt>
          <c:dPt>
            <c:idx val="2"/>
            <c:invertIfNegative val="0"/>
            <c:bubble3D val="0"/>
            <c:spPr>
              <a:gradFill>
                <a:gsLst>
                  <a:gs pos="0">
                    <a:schemeClr val="accent2">
                      <a:lumMod val="89000"/>
                    </a:schemeClr>
                  </a:gs>
                  <a:gs pos="23000">
                    <a:schemeClr val="accent2">
                      <a:lumMod val="89000"/>
                    </a:schemeClr>
                  </a:gs>
                  <a:gs pos="69000">
                    <a:schemeClr val="accent2">
                      <a:lumMod val="75000"/>
                    </a:schemeClr>
                  </a:gs>
                  <a:gs pos="97000">
                    <a:schemeClr val="accent2">
                      <a:lumMod val="70000"/>
                    </a:schemeClr>
                  </a:gs>
                </a:gsLst>
                <a:path path="circle">
                  <a:fillToRect l="50000" t="50000" r="50000" b="50000"/>
                </a:path>
              </a:gradFill>
              <a:ln w="19050">
                <a:solidFill>
                  <a:schemeClr val="lt1"/>
                </a:solidFill>
              </a:ln>
              <a:effectLst/>
            </c:spPr>
            <c:extLst>
              <c:ext xmlns:c16="http://schemas.microsoft.com/office/drawing/2014/chart" uri="{C3380CC4-5D6E-409C-BE32-E72D297353CC}">
                <c16:uniqueId val="{00000005-D729-449D-B357-B90766BD126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Reports!$A$22:$A$25</c:f>
              <c:strCache>
                <c:ptCount val="3"/>
                <c:pt idx="0">
                  <c:v>cosmetics</c:v>
                </c:pt>
                <c:pt idx="1">
                  <c:v>haircare</c:v>
                </c:pt>
                <c:pt idx="2">
                  <c:v>skincare</c:v>
                </c:pt>
              </c:strCache>
            </c:strRef>
          </c:cat>
          <c:val>
            <c:numRef>
              <c:f>Reports!$B$22:$B$25</c:f>
              <c:numCache>
                <c:formatCode>"₹"\ #,##0.00</c:formatCode>
                <c:ptCount val="3"/>
                <c:pt idx="0">
                  <c:v>161521.26599948312</c:v>
                </c:pt>
                <c:pt idx="1">
                  <c:v>174455.39060546231</c:v>
                </c:pt>
                <c:pt idx="2">
                  <c:v>241628.16213306325</c:v>
                </c:pt>
              </c:numCache>
            </c:numRef>
          </c:val>
          <c:extLst>
            <c:ext xmlns:c16="http://schemas.microsoft.com/office/drawing/2014/chart" uri="{C3380CC4-5D6E-409C-BE32-E72D297353CC}">
              <c16:uniqueId val="{00000006-D729-449D-B357-B90766BD1269}"/>
            </c:ext>
          </c:extLst>
        </c:ser>
        <c:dLbls>
          <c:showLegendKey val="0"/>
          <c:showVal val="0"/>
          <c:showCatName val="0"/>
          <c:showSerName val="0"/>
          <c:showPercent val="0"/>
          <c:showBubbleSize val="0"/>
        </c:dLbls>
        <c:gapWidth val="100"/>
        <c:axId val="171498960"/>
        <c:axId val="171498000"/>
      </c:barChart>
      <c:valAx>
        <c:axId val="171498000"/>
        <c:scaling>
          <c:orientation val="minMax"/>
        </c:scaling>
        <c:delete val="1"/>
        <c:axPos val="b"/>
        <c:numFmt formatCode="&quot;₹&quot;\ #,##0.00" sourceLinked="1"/>
        <c:majorTickMark val="out"/>
        <c:minorTickMark val="none"/>
        <c:tickLblPos val="nextTo"/>
        <c:crossAx val="171498960"/>
        <c:crosses val="autoZero"/>
        <c:crossBetween val="between"/>
      </c:valAx>
      <c:catAx>
        <c:axId val="17149896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498000"/>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 Inventory Optimization &amp; Performance Dashboard.xlsx]Reports!PivotTable10</c:name>
    <c:fmtId val="5"/>
  </c:pivotSource>
  <c:chart>
    <c:title>
      <c:tx>
        <c:rich>
          <a:bodyPr rot="0" spcFirstLastPara="1" vertOverflow="ellipsis" vert="horz" wrap="square" anchor="ctr" anchorCtr="1"/>
          <a:lstStyle/>
          <a:p>
            <a:pPr>
              <a:defRPr sz="1400" b="0" i="0" u="none" strike="noStrike" kern="1200" spc="0" baseline="0">
                <a:gradFill>
                  <a:gsLst>
                    <a:gs pos="0">
                      <a:schemeClr val="tx1">
                        <a:lumMod val="75000"/>
                        <a:lumOff val="25000"/>
                      </a:schemeClr>
                    </a:gs>
                    <a:gs pos="23000">
                      <a:schemeClr val="tx1">
                        <a:lumMod val="95000"/>
                        <a:lumOff val="5000"/>
                      </a:schemeClr>
                    </a:gs>
                    <a:gs pos="99000">
                      <a:schemeClr val="tx1">
                        <a:lumMod val="95000"/>
                        <a:lumOff val="5000"/>
                      </a:schemeClr>
                    </a:gs>
                    <a:gs pos="97000">
                      <a:schemeClr val="accent2">
                        <a:lumMod val="70000"/>
                      </a:schemeClr>
                    </a:gs>
                  </a:gsLst>
                  <a:path path="circle">
                    <a:fillToRect l="50000" t="50000" r="50000" b="50000"/>
                  </a:path>
                </a:gradFill>
                <a:latin typeface="+mn-lt"/>
                <a:ea typeface="+mn-ea"/>
                <a:cs typeface="+mn-cs"/>
              </a:defRPr>
            </a:pPr>
            <a:r>
              <a:rPr lang="en-US" b="1" i="0" baseline="0">
                <a:gradFill>
                  <a:gsLst>
                    <a:gs pos="0">
                      <a:schemeClr val="tx1">
                        <a:lumMod val="75000"/>
                        <a:lumOff val="25000"/>
                      </a:schemeClr>
                    </a:gs>
                    <a:gs pos="23000">
                      <a:schemeClr val="tx1">
                        <a:lumMod val="95000"/>
                        <a:lumOff val="5000"/>
                      </a:schemeClr>
                    </a:gs>
                    <a:gs pos="99000">
                      <a:schemeClr val="tx1">
                        <a:lumMod val="95000"/>
                        <a:lumOff val="5000"/>
                      </a:schemeClr>
                    </a:gs>
                    <a:gs pos="97000">
                      <a:schemeClr val="accent2">
                        <a:lumMod val="70000"/>
                      </a:schemeClr>
                    </a:gs>
                  </a:gsLst>
                  <a:path path="circle">
                    <a:fillToRect l="50000" t="50000" r="50000" b="50000"/>
                  </a:path>
                </a:gradFill>
              </a:rPr>
              <a:t>Avg Defect Cost By Supplier</a:t>
            </a:r>
          </a:p>
        </c:rich>
      </c:tx>
      <c:overlay val="0"/>
      <c:spPr>
        <a:noFill/>
        <a:ln>
          <a:noFill/>
        </a:ln>
        <a:effectLst/>
      </c:spPr>
      <c:txPr>
        <a:bodyPr rot="0" spcFirstLastPara="1" vertOverflow="ellipsis" vert="horz" wrap="square" anchor="ctr" anchorCtr="1"/>
        <a:lstStyle/>
        <a:p>
          <a:pPr>
            <a:defRPr sz="1400" b="0" i="0" u="none" strike="noStrike" kern="1200" spc="0" baseline="0">
              <a:gradFill>
                <a:gsLst>
                  <a:gs pos="0">
                    <a:schemeClr val="tx1">
                      <a:lumMod val="75000"/>
                      <a:lumOff val="25000"/>
                    </a:schemeClr>
                  </a:gs>
                  <a:gs pos="23000">
                    <a:schemeClr val="tx1">
                      <a:lumMod val="95000"/>
                      <a:lumOff val="5000"/>
                    </a:schemeClr>
                  </a:gs>
                  <a:gs pos="99000">
                    <a:schemeClr val="tx1">
                      <a:lumMod val="95000"/>
                      <a:lumOff val="5000"/>
                    </a:schemeClr>
                  </a:gs>
                  <a:gs pos="97000">
                    <a:schemeClr val="accent2">
                      <a:lumMod val="70000"/>
                    </a:schemeClr>
                  </a:gs>
                </a:gsLst>
                <a:path path="circle">
                  <a:fillToRect l="50000" t="50000" r="50000" b="50000"/>
                </a:path>
              </a:gra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rgbClr val="FF0000"/>
          </a:solidFill>
          <a:ln w="19050">
            <a:solidFill>
              <a:schemeClr val="lt1"/>
            </a:solidFill>
          </a:ln>
          <a:effectLst/>
        </c:spPr>
      </c:pivotFmt>
      <c:pivotFmt>
        <c:idx val="21"/>
        <c:spPr>
          <a:solidFill>
            <a:schemeClr val="tx1">
              <a:lumMod val="75000"/>
              <a:lumOff val="25000"/>
            </a:schemeClr>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2">
              <a:lumMod val="75000"/>
            </a:schemeClr>
          </a:solidFill>
          <a:ln w="19050">
            <a:solidFill>
              <a:schemeClr val="lt1"/>
            </a:solidFill>
            <a:bevel/>
          </a:ln>
          <a:effectLst/>
        </c:spPr>
      </c:pivotFmt>
    </c:pivotFmts>
    <c:plotArea>
      <c:layout/>
      <c:doughnutChart>
        <c:varyColors val="1"/>
        <c:ser>
          <c:idx val="0"/>
          <c:order val="0"/>
          <c:tx>
            <c:strRef>
              <c:f>Reports!$E$3</c:f>
              <c:strCache>
                <c:ptCount val="1"/>
                <c:pt idx="0">
                  <c:v>Total</c:v>
                </c:pt>
              </c:strCache>
            </c:strRef>
          </c:tx>
          <c:dPt>
            <c:idx val="0"/>
            <c:bubble3D val="0"/>
            <c:spPr>
              <a:solidFill>
                <a:srgbClr val="FF0000"/>
              </a:solidFill>
              <a:ln w="19050">
                <a:solidFill>
                  <a:schemeClr val="lt1"/>
                </a:solidFill>
              </a:ln>
              <a:effectLst/>
            </c:spPr>
            <c:extLst>
              <c:ext xmlns:c16="http://schemas.microsoft.com/office/drawing/2014/chart" uri="{C3380CC4-5D6E-409C-BE32-E72D297353CC}">
                <c16:uniqueId val="{00000001-D4A3-43CB-8EC0-089FBE9842FD}"/>
              </c:ext>
            </c:extLst>
          </c:dPt>
          <c:dPt>
            <c:idx val="1"/>
            <c:bubble3D val="0"/>
            <c:spPr>
              <a:solidFill>
                <a:schemeClr val="tx1">
                  <a:lumMod val="75000"/>
                  <a:lumOff val="25000"/>
                </a:schemeClr>
              </a:solidFill>
              <a:ln w="19050">
                <a:solidFill>
                  <a:schemeClr val="lt1"/>
                </a:solidFill>
              </a:ln>
              <a:effectLst/>
            </c:spPr>
            <c:extLst>
              <c:ext xmlns:c16="http://schemas.microsoft.com/office/drawing/2014/chart" uri="{C3380CC4-5D6E-409C-BE32-E72D297353CC}">
                <c16:uniqueId val="{00000003-D4A3-43CB-8EC0-089FBE9842F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4A3-43CB-8EC0-089FBE9842F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4A3-43CB-8EC0-089FBE9842FD}"/>
              </c:ext>
            </c:extLst>
          </c:dPt>
          <c:dPt>
            <c:idx val="4"/>
            <c:bubble3D val="0"/>
            <c:spPr>
              <a:solidFill>
                <a:schemeClr val="accent2">
                  <a:lumMod val="75000"/>
                </a:schemeClr>
              </a:solidFill>
              <a:ln w="19050">
                <a:solidFill>
                  <a:schemeClr val="lt1"/>
                </a:solidFill>
                <a:bevel/>
              </a:ln>
              <a:effectLst/>
            </c:spPr>
            <c:extLst>
              <c:ext xmlns:c16="http://schemas.microsoft.com/office/drawing/2014/chart" uri="{C3380CC4-5D6E-409C-BE32-E72D297353CC}">
                <c16:uniqueId val="{00000009-D4A3-43CB-8EC0-089FBE9842FD}"/>
              </c:ext>
            </c:extLst>
          </c:dPt>
          <c:cat>
            <c:strRef>
              <c:f>Reports!$D$4:$D$9</c:f>
              <c:strCache>
                <c:ptCount val="5"/>
                <c:pt idx="0">
                  <c:v>Supplier 5</c:v>
                </c:pt>
                <c:pt idx="1">
                  <c:v>Supplier 3</c:v>
                </c:pt>
                <c:pt idx="2">
                  <c:v>Supplier 2</c:v>
                </c:pt>
                <c:pt idx="3">
                  <c:v>Supplier 4</c:v>
                </c:pt>
                <c:pt idx="4">
                  <c:v>Supplier 1</c:v>
                </c:pt>
              </c:strCache>
            </c:strRef>
          </c:cat>
          <c:val>
            <c:numRef>
              <c:f>Reports!$E$4:$E$9</c:f>
              <c:numCache>
                <c:formatCode>"₹"\ #,##0.00</c:formatCode>
                <c:ptCount val="5"/>
                <c:pt idx="0">
                  <c:v>2.6654083441492014</c:v>
                </c:pt>
                <c:pt idx="1">
                  <c:v>2.4657860307644701</c:v>
                </c:pt>
                <c:pt idx="2">
                  <c:v>2.3627501450718813</c:v>
                </c:pt>
                <c:pt idx="3">
                  <c:v>2.3373974005913398</c:v>
                </c:pt>
                <c:pt idx="4">
                  <c:v>1.8036297116882525</c:v>
                </c:pt>
              </c:numCache>
            </c:numRef>
          </c:val>
          <c:extLst>
            <c:ext xmlns:c16="http://schemas.microsoft.com/office/drawing/2014/chart" uri="{C3380CC4-5D6E-409C-BE32-E72D297353CC}">
              <c16:uniqueId val="{0000000A-D4A3-43CB-8EC0-089FBE9842FD}"/>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chart" Target="../charts/chart1.xml"/><Relationship Id="rId1" Type="http://schemas.openxmlformats.org/officeDocument/2006/relationships/image" Target="../media/image1.emf"/><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1</xdr:col>
      <xdr:colOff>0</xdr:colOff>
      <xdr:row>0</xdr:row>
      <xdr:rowOff>76200</xdr:rowOff>
    </xdr:from>
    <xdr:to>
      <xdr:col>23</xdr:col>
      <xdr:colOff>518160</xdr:colOff>
      <xdr:row>2</xdr:row>
      <xdr:rowOff>70440</xdr:rowOff>
    </xdr:to>
    <xdr:sp macro="" textlink="">
      <xdr:nvSpPr>
        <xdr:cNvPr id="2" name="Rectangle: Rounded Corners 1">
          <a:extLst>
            <a:ext uri="{FF2B5EF4-FFF2-40B4-BE49-F238E27FC236}">
              <a16:creationId xmlns:a16="http://schemas.microsoft.com/office/drawing/2014/main" id="{CE5880B1-85C0-48CA-1741-B47AD42D48C1}"/>
            </a:ext>
          </a:extLst>
        </xdr:cNvPr>
        <xdr:cNvSpPr/>
      </xdr:nvSpPr>
      <xdr:spPr>
        <a:xfrm>
          <a:off x="106680" y="76200"/>
          <a:ext cx="13929360" cy="360000"/>
        </a:xfrm>
        <a:prstGeom prst="roundRect">
          <a:avLst/>
        </a:prstGeom>
        <a:solidFill>
          <a:schemeClr val="bg1"/>
        </a:solidFill>
        <a:ln>
          <a:solidFill>
            <a:schemeClr val="bg1"/>
          </a:solidFill>
        </a:ln>
        <a:effectLst>
          <a:glow rad="63500">
            <a:schemeClr val="accent2">
              <a:satMod val="175000"/>
              <a:alpha val="40000"/>
            </a:schemeClr>
          </a:glow>
          <a:outerShdw blurRad="50800" dist="38100" dir="2700000" algn="tl" rotWithShape="0">
            <a:prstClr val="black">
              <a:alpha val="40000"/>
            </a:prstClr>
          </a:outerShdw>
          <a:reflection blurRad="6350" stA="52000" endA="300" endPos="35000" dir="5400000" sy="-100000" algn="bl" rotWithShape="0"/>
          <a:softEdge rad="12700"/>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800" b="1" i="0" normalizeH="0" baseline="0">
              <a:solidFill>
                <a:schemeClr val="accent2"/>
              </a:solidFill>
            </a:rPr>
            <a:t>				Supply Chain Inventory Optimization &amp; Performance Dashboard</a:t>
          </a:r>
        </a:p>
      </xdr:txBody>
    </xdr:sp>
    <xdr:clientData/>
  </xdr:twoCellAnchor>
  <xdr:twoCellAnchor>
    <xdr:from>
      <xdr:col>1</xdr:col>
      <xdr:colOff>22860</xdr:colOff>
      <xdr:row>3</xdr:row>
      <xdr:rowOff>38100</xdr:rowOff>
    </xdr:from>
    <xdr:to>
      <xdr:col>4</xdr:col>
      <xdr:colOff>76200</xdr:colOff>
      <xdr:row>7</xdr:row>
      <xdr:rowOff>45720</xdr:rowOff>
    </xdr:to>
    <xdr:sp macro="" textlink="Kpis!A4">
      <xdr:nvSpPr>
        <xdr:cNvPr id="3" name="Rectangle: Rounded Corners 2">
          <a:extLst>
            <a:ext uri="{FF2B5EF4-FFF2-40B4-BE49-F238E27FC236}">
              <a16:creationId xmlns:a16="http://schemas.microsoft.com/office/drawing/2014/main" id="{6751BC88-A67E-4AE4-9848-ACBD7D3CE723}"/>
            </a:ext>
          </a:extLst>
        </xdr:cNvPr>
        <xdr:cNvSpPr/>
      </xdr:nvSpPr>
      <xdr:spPr>
        <a:xfrm>
          <a:off x="129540" y="586740"/>
          <a:ext cx="1882140" cy="739140"/>
        </a:xfrm>
        <a:prstGeom prst="roundRect">
          <a:avLst/>
        </a:prstGeom>
        <a:solidFill>
          <a:schemeClr val="bg1"/>
        </a:solidFill>
        <a:ln>
          <a:solidFill>
            <a:schemeClr val="bg1"/>
          </a:solidFill>
        </a:ln>
        <a:effectLst>
          <a:glow rad="63500">
            <a:schemeClr val="accent2">
              <a:satMod val="175000"/>
              <a:alpha val="40000"/>
            </a:schemeClr>
          </a:glow>
          <a:outerShdw blurRad="50800" dist="38100" dir="2700000" algn="tl" rotWithShape="0">
            <a:schemeClr val="tx1">
              <a:lumMod val="85000"/>
              <a:lumOff val="15000"/>
              <a:alpha val="40000"/>
            </a:schemeClr>
          </a:outerShdw>
          <a:softEdge rad="12700"/>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fld id="{9C8C707F-5B98-4409-B35A-B515D83D8116}" type="TxLink">
            <a:rPr lang="en-US" sz="1800" b="0" i="0" u="none" strike="noStrike" normalizeH="0" baseline="0">
              <a:ln>
                <a:noFill/>
              </a:ln>
              <a:solidFill>
                <a:schemeClr val="bg2">
                  <a:lumMod val="25000"/>
                </a:schemeClr>
              </a:solidFill>
              <a:latin typeface="Calibri"/>
              <a:ea typeface="Calibri"/>
              <a:cs typeface="Calibri"/>
            </a:rPr>
            <a:pPr algn="ctr"/>
            <a:t>100</a:t>
          </a:fld>
          <a:endParaRPr lang="en-US" sz="1800" b="0" i="0" u="none" strike="noStrike" normalizeH="0" baseline="0">
            <a:ln>
              <a:noFill/>
            </a:ln>
            <a:solidFill>
              <a:schemeClr val="bg2">
                <a:lumMod val="25000"/>
              </a:schemeClr>
            </a:solidFill>
            <a:latin typeface="Calibri"/>
            <a:ea typeface="Calibri"/>
            <a:cs typeface="Calibri"/>
          </a:endParaRPr>
        </a:p>
        <a:p>
          <a:pPr algn="ctr"/>
          <a:r>
            <a:rPr lang="en-IN" sz="1800" b="1" i="0" normalizeH="0" baseline="0">
              <a:ln>
                <a:noFill/>
              </a:ln>
              <a:solidFill>
                <a:schemeClr val="bg2">
                  <a:lumMod val="25000"/>
                </a:schemeClr>
              </a:solidFill>
            </a:rPr>
            <a:t>Total  Orders</a:t>
          </a:r>
        </a:p>
      </xdr:txBody>
    </xdr:sp>
    <xdr:clientData/>
  </xdr:twoCellAnchor>
  <xdr:twoCellAnchor>
    <xdr:from>
      <xdr:col>3</xdr:col>
      <xdr:colOff>228600</xdr:colOff>
      <xdr:row>9</xdr:row>
      <xdr:rowOff>129540</xdr:rowOff>
    </xdr:from>
    <xdr:to>
      <xdr:col>6</xdr:col>
      <xdr:colOff>281940</xdr:colOff>
      <xdr:row>13</xdr:row>
      <xdr:rowOff>137160</xdr:rowOff>
    </xdr:to>
    <xdr:sp macro="" textlink="">
      <xdr:nvSpPr>
        <xdr:cNvPr id="9" name="Rectangle: Rounded Corners 8">
          <a:extLst>
            <a:ext uri="{FF2B5EF4-FFF2-40B4-BE49-F238E27FC236}">
              <a16:creationId xmlns:a16="http://schemas.microsoft.com/office/drawing/2014/main" id="{0928A854-8817-4A8E-9340-E6EC25341452}"/>
            </a:ext>
          </a:extLst>
        </xdr:cNvPr>
        <xdr:cNvSpPr/>
      </xdr:nvSpPr>
      <xdr:spPr>
        <a:xfrm>
          <a:off x="1554480" y="1775460"/>
          <a:ext cx="1882140" cy="739140"/>
        </a:xfrm>
        <a:prstGeom prst="roundRect">
          <a:avLst/>
        </a:prstGeom>
        <a:solidFill>
          <a:schemeClr val="bg1"/>
        </a:solidFill>
        <a:ln>
          <a:solidFill>
            <a:schemeClr val="bg1"/>
          </a:solidFill>
        </a:ln>
        <a:effectLst>
          <a:glow rad="63500">
            <a:schemeClr val="accent2">
              <a:satMod val="175000"/>
              <a:alpha val="40000"/>
            </a:schemeClr>
          </a:glow>
          <a:outerShdw blurRad="50800" dist="38100" dir="2700000" algn="tl" rotWithShape="0">
            <a:prstClr val="black">
              <a:alpha val="40000"/>
            </a:prstClr>
          </a:outerShdw>
          <a:softEdge rad="12700"/>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800" b="1" i="0" normalizeH="0" baseline="0">
            <a:solidFill>
              <a:schemeClr val="accent2"/>
            </a:solidFill>
          </a:endParaRPr>
        </a:p>
      </xdr:txBody>
    </xdr:sp>
    <xdr:clientData/>
  </xdr:twoCellAnchor>
  <xdr:twoCellAnchor>
    <xdr:from>
      <xdr:col>7</xdr:col>
      <xdr:colOff>548640</xdr:colOff>
      <xdr:row>3</xdr:row>
      <xdr:rowOff>38100</xdr:rowOff>
    </xdr:from>
    <xdr:to>
      <xdr:col>10</xdr:col>
      <xdr:colOff>601980</xdr:colOff>
      <xdr:row>7</xdr:row>
      <xdr:rowOff>45720</xdr:rowOff>
    </xdr:to>
    <xdr:sp macro="" textlink="Kpis!F4">
      <xdr:nvSpPr>
        <xdr:cNvPr id="10" name="Rectangle: Rounded Corners 9">
          <a:extLst>
            <a:ext uri="{FF2B5EF4-FFF2-40B4-BE49-F238E27FC236}">
              <a16:creationId xmlns:a16="http://schemas.microsoft.com/office/drawing/2014/main" id="{39900821-DC4D-414A-A53B-19BED5B7EEB1}"/>
            </a:ext>
          </a:extLst>
        </xdr:cNvPr>
        <xdr:cNvSpPr/>
      </xdr:nvSpPr>
      <xdr:spPr>
        <a:xfrm>
          <a:off x="4312920" y="586740"/>
          <a:ext cx="1882140" cy="739140"/>
        </a:xfrm>
        <a:prstGeom prst="roundRect">
          <a:avLst/>
        </a:prstGeom>
        <a:solidFill>
          <a:schemeClr val="bg1"/>
        </a:solidFill>
        <a:ln>
          <a:solidFill>
            <a:schemeClr val="bg1"/>
          </a:solidFill>
        </a:ln>
        <a:effectLst>
          <a:glow rad="63500">
            <a:schemeClr val="accent2">
              <a:satMod val="175000"/>
              <a:alpha val="40000"/>
            </a:schemeClr>
          </a:glow>
          <a:outerShdw blurRad="50800" dist="38100" dir="2700000" algn="tl" rotWithShape="0">
            <a:prstClr val="black">
              <a:alpha val="40000"/>
            </a:prstClr>
          </a:outerShdw>
          <a:softEdge rad="12700"/>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4C5C6655-F61F-483C-BE54-41B80230BC5C}" type="TxLink">
            <a:rPr lang="en-US" sz="1600" b="1" i="0" u="none" strike="noStrike" normalizeH="0" baseline="0">
              <a:solidFill>
                <a:schemeClr val="bg2">
                  <a:lumMod val="25000"/>
                </a:schemeClr>
              </a:solidFill>
              <a:latin typeface="Calibri"/>
              <a:ea typeface="Calibri"/>
              <a:cs typeface="Calibri"/>
            </a:rPr>
            <a:pPr algn="ctr"/>
            <a:t>₹ 5.55</a:t>
          </a:fld>
          <a:endParaRPr lang="en-US" sz="1600" b="1" i="0" u="none" strike="noStrike" normalizeH="0" baseline="0">
            <a:solidFill>
              <a:schemeClr val="bg2">
                <a:lumMod val="25000"/>
              </a:schemeClr>
            </a:solidFill>
            <a:latin typeface="Calibri"/>
            <a:ea typeface="Calibri"/>
            <a:cs typeface="Calibri"/>
          </a:endParaRPr>
        </a:p>
        <a:p>
          <a:pPr algn="ctr"/>
          <a:r>
            <a:rPr lang="en-US" sz="1600" b="1" i="0" u="none" strike="noStrike" normalizeH="0" baseline="0">
              <a:solidFill>
                <a:schemeClr val="bg2">
                  <a:lumMod val="25000"/>
                </a:schemeClr>
              </a:solidFill>
              <a:latin typeface="Calibri"/>
              <a:ea typeface="Calibri"/>
              <a:cs typeface="Calibri"/>
            </a:rPr>
            <a:t>Avg Shipping Cost</a:t>
          </a:r>
          <a:endParaRPr lang="en-IN" sz="1600" b="1" i="0" normalizeH="0" baseline="0">
            <a:solidFill>
              <a:schemeClr val="bg2">
                <a:lumMod val="25000"/>
              </a:schemeClr>
            </a:solidFill>
          </a:endParaRPr>
        </a:p>
      </xdr:txBody>
    </xdr:sp>
    <xdr:clientData/>
  </xdr:twoCellAnchor>
  <xdr:twoCellAnchor>
    <xdr:from>
      <xdr:col>11</xdr:col>
      <xdr:colOff>220980</xdr:colOff>
      <xdr:row>3</xdr:row>
      <xdr:rowOff>30480</xdr:rowOff>
    </xdr:from>
    <xdr:to>
      <xdr:col>14</xdr:col>
      <xdr:colOff>274320</xdr:colOff>
      <xdr:row>7</xdr:row>
      <xdr:rowOff>38100</xdr:rowOff>
    </xdr:to>
    <xdr:sp macro="" textlink="Kpis!G4">
      <xdr:nvSpPr>
        <xdr:cNvPr id="11" name="Rectangle: Rounded Corners 10">
          <a:extLst>
            <a:ext uri="{FF2B5EF4-FFF2-40B4-BE49-F238E27FC236}">
              <a16:creationId xmlns:a16="http://schemas.microsoft.com/office/drawing/2014/main" id="{EFD66DD9-9FF3-486D-A221-52172039C4E2}"/>
            </a:ext>
          </a:extLst>
        </xdr:cNvPr>
        <xdr:cNvSpPr/>
      </xdr:nvSpPr>
      <xdr:spPr>
        <a:xfrm>
          <a:off x="6423660" y="579120"/>
          <a:ext cx="1882140" cy="739140"/>
        </a:xfrm>
        <a:prstGeom prst="roundRect">
          <a:avLst/>
        </a:prstGeom>
        <a:solidFill>
          <a:schemeClr val="bg1"/>
        </a:solidFill>
        <a:ln>
          <a:solidFill>
            <a:schemeClr val="bg1"/>
          </a:solidFill>
        </a:ln>
        <a:effectLst>
          <a:glow rad="63500">
            <a:schemeClr val="accent2">
              <a:satMod val="175000"/>
              <a:alpha val="40000"/>
            </a:schemeClr>
          </a:glow>
          <a:outerShdw blurRad="50800" dist="38100" dir="2700000" algn="tl" rotWithShape="0">
            <a:prstClr val="black">
              <a:alpha val="40000"/>
            </a:prstClr>
          </a:outerShdw>
          <a:softEdge rad="12700"/>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6588103A-06B0-492D-BDD3-6A7F2BD5858F}" type="TxLink">
            <a:rPr lang="en-US" sz="1600" b="1" i="0" u="none" strike="noStrike" normalizeH="0" baseline="0">
              <a:solidFill>
                <a:schemeClr val="bg2">
                  <a:lumMod val="25000"/>
                </a:schemeClr>
              </a:solidFill>
              <a:latin typeface="Calibri"/>
              <a:ea typeface="Calibri"/>
              <a:cs typeface="Calibri"/>
            </a:rPr>
            <a:pPr algn="ctr"/>
            <a:t>₹ 2.28</a:t>
          </a:fld>
          <a:endParaRPr lang="en-US" sz="1600" b="1" i="0" u="none" strike="noStrike" normalizeH="0" baseline="0">
            <a:solidFill>
              <a:schemeClr val="bg2">
                <a:lumMod val="25000"/>
              </a:schemeClr>
            </a:solidFill>
            <a:latin typeface="Calibri"/>
            <a:ea typeface="Calibri"/>
            <a:cs typeface="Calibri"/>
          </a:endParaRPr>
        </a:p>
        <a:p>
          <a:pPr algn="ctr"/>
          <a:r>
            <a:rPr lang="en-US" sz="1600" b="1" i="0" u="none" strike="noStrike" normalizeH="0" baseline="0">
              <a:solidFill>
                <a:schemeClr val="bg2">
                  <a:lumMod val="25000"/>
                </a:schemeClr>
              </a:solidFill>
              <a:latin typeface="Calibri"/>
              <a:ea typeface="Calibri"/>
              <a:cs typeface="Calibri"/>
            </a:rPr>
            <a:t>Avg Defect Cost</a:t>
          </a:r>
          <a:endParaRPr lang="en-IN" sz="1600" b="1" i="0" normalizeH="0" baseline="0">
            <a:solidFill>
              <a:schemeClr val="bg2">
                <a:lumMod val="25000"/>
              </a:schemeClr>
            </a:solidFill>
          </a:endParaRPr>
        </a:p>
      </xdr:txBody>
    </xdr:sp>
    <xdr:clientData/>
  </xdr:twoCellAnchor>
  <xdr:twoCellAnchor>
    <xdr:from>
      <xdr:col>14</xdr:col>
      <xdr:colOff>487680</xdr:colOff>
      <xdr:row>3</xdr:row>
      <xdr:rowOff>30480</xdr:rowOff>
    </xdr:from>
    <xdr:to>
      <xdr:col>17</xdr:col>
      <xdr:colOff>541020</xdr:colOff>
      <xdr:row>7</xdr:row>
      <xdr:rowOff>38100</xdr:rowOff>
    </xdr:to>
    <xdr:sp macro="" textlink="Kpis!H4">
      <xdr:nvSpPr>
        <xdr:cNvPr id="12" name="Rectangle: Rounded Corners 11">
          <a:extLst>
            <a:ext uri="{FF2B5EF4-FFF2-40B4-BE49-F238E27FC236}">
              <a16:creationId xmlns:a16="http://schemas.microsoft.com/office/drawing/2014/main" id="{D0931B23-C203-413D-B21D-AAAE060C9F09}"/>
            </a:ext>
          </a:extLst>
        </xdr:cNvPr>
        <xdr:cNvSpPr/>
      </xdr:nvSpPr>
      <xdr:spPr>
        <a:xfrm>
          <a:off x="8519160" y="579120"/>
          <a:ext cx="1882140" cy="739140"/>
        </a:xfrm>
        <a:prstGeom prst="roundRect">
          <a:avLst/>
        </a:prstGeom>
        <a:solidFill>
          <a:schemeClr val="bg1"/>
        </a:solidFill>
        <a:ln>
          <a:solidFill>
            <a:schemeClr val="bg1"/>
          </a:solidFill>
        </a:ln>
        <a:effectLst>
          <a:glow rad="63500">
            <a:schemeClr val="accent2">
              <a:satMod val="175000"/>
              <a:alpha val="40000"/>
            </a:schemeClr>
          </a:glow>
          <a:outerShdw blurRad="50800" dist="38100" dir="2700000" algn="tl" rotWithShape="0">
            <a:prstClr val="black">
              <a:alpha val="40000"/>
            </a:prstClr>
          </a:outerShdw>
          <a:softEdge rad="12700"/>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CF039CF5-F0EB-4E11-892B-D7751961593C}" type="TxLink">
            <a:rPr lang="en-US" sz="1400" b="1" i="0" u="none" strike="noStrike" normalizeH="0" baseline="0">
              <a:solidFill>
                <a:schemeClr val="bg2">
                  <a:lumMod val="25000"/>
                </a:schemeClr>
              </a:solidFill>
              <a:latin typeface="Calibri"/>
              <a:ea typeface="Calibri"/>
              <a:cs typeface="Calibri"/>
            </a:rPr>
            <a:pPr algn="ctr"/>
            <a:t>₹ 4,726.67</a:t>
          </a:fld>
          <a:endParaRPr lang="en-US" sz="1400" b="1" i="0" u="none" strike="noStrike" normalizeH="0" baseline="0">
            <a:solidFill>
              <a:schemeClr val="bg2">
                <a:lumMod val="25000"/>
              </a:schemeClr>
            </a:solidFill>
            <a:latin typeface="Calibri"/>
            <a:ea typeface="Calibri"/>
            <a:cs typeface="Calibri"/>
          </a:endParaRPr>
        </a:p>
        <a:p>
          <a:pPr algn="ctr"/>
          <a:r>
            <a:rPr lang="en-US" sz="1400" b="1" i="0" u="none" strike="noStrike" normalizeH="0" baseline="0">
              <a:solidFill>
                <a:schemeClr val="bg2">
                  <a:lumMod val="25000"/>
                </a:schemeClr>
              </a:solidFill>
              <a:latin typeface="Calibri"/>
              <a:ea typeface="Calibri"/>
              <a:cs typeface="Calibri"/>
            </a:rPr>
            <a:t>Manufacturing Cost</a:t>
          </a:r>
          <a:endParaRPr lang="en-IN" sz="1400" b="1" i="0" normalizeH="0" baseline="0">
            <a:solidFill>
              <a:schemeClr val="bg2">
                <a:lumMod val="25000"/>
              </a:schemeClr>
            </a:solidFill>
          </a:endParaRPr>
        </a:p>
      </xdr:txBody>
    </xdr:sp>
    <xdr:clientData/>
  </xdr:twoCellAnchor>
  <xdr:twoCellAnchor>
    <xdr:from>
      <xdr:col>18</xdr:col>
      <xdr:colOff>106680</xdr:colOff>
      <xdr:row>3</xdr:row>
      <xdr:rowOff>22860</xdr:rowOff>
    </xdr:from>
    <xdr:to>
      <xdr:col>21</xdr:col>
      <xdr:colOff>160020</xdr:colOff>
      <xdr:row>7</xdr:row>
      <xdr:rowOff>30480</xdr:rowOff>
    </xdr:to>
    <xdr:sp macro="" textlink="Kpis!C4">
      <xdr:nvSpPr>
        <xdr:cNvPr id="13" name="Rectangle: Rounded Corners 12">
          <a:extLst>
            <a:ext uri="{FF2B5EF4-FFF2-40B4-BE49-F238E27FC236}">
              <a16:creationId xmlns:a16="http://schemas.microsoft.com/office/drawing/2014/main" id="{628EFFA6-09A6-4AB8-9BF1-2259F29010FD}"/>
            </a:ext>
          </a:extLst>
        </xdr:cNvPr>
        <xdr:cNvSpPr/>
      </xdr:nvSpPr>
      <xdr:spPr>
        <a:xfrm>
          <a:off x="10576560" y="571500"/>
          <a:ext cx="1882140" cy="739140"/>
        </a:xfrm>
        <a:prstGeom prst="roundRect">
          <a:avLst/>
        </a:prstGeom>
        <a:solidFill>
          <a:schemeClr val="bg1"/>
        </a:solidFill>
        <a:ln>
          <a:solidFill>
            <a:schemeClr val="bg1"/>
          </a:solidFill>
        </a:ln>
        <a:effectLst>
          <a:glow rad="63500">
            <a:schemeClr val="accent2">
              <a:satMod val="175000"/>
              <a:alpha val="40000"/>
            </a:schemeClr>
          </a:glow>
          <a:outerShdw blurRad="50800" dist="38100" dir="2700000" algn="tl" rotWithShape="0">
            <a:prstClr val="black">
              <a:alpha val="40000"/>
            </a:prstClr>
          </a:outerShdw>
          <a:softEdge rad="12700"/>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91B8CC2F-748C-4F30-AEF1-722163810013}" type="TxLink">
            <a:rPr lang="en-US" sz="1800" b="1" i="0" u="none" strike="noStrike" normalizeH="0" baseline="0">
              <a:solidFill>
                <a:schemeClr val="bg2">
                  <a:lumMod val="25000"/>
                </a:schemeClr>
              </a:solidFill>
              <a:latin typeface="Calibri"/>
              <a:ea typeface="Calibri"/>
              <a:cs typeface="Calibri"/>
            </a:rPr>
            <a:pPr algn="ctr"/>
            <a:t>17.08</a:t>
          </a:fld>
          <a:endParaRPr lang="en-US" sz="1800" b="1" i="0" u="none" strike="noStrike" normalizeH="0" baseline="0">
            <a:solidFill>
              <a:schemeClr val="bg2">
                <a:lumMod val="25000"/>
              </a:schemeClr>
            </a:solidFill>
            <a:latin typeface="Calibri"/>
            <a:ea typeface="Calibri"/>
            <a:cs typeface="Calibri"/>
          </a:endParaRPr>
        </a:p>
        <a:p>
          <a:pPr algn="ctr"/>
          <a:r>
            <a:rPr lang="en-US" sz="1800" b="1" i="0" u="none" strike="noStrike" normalizeH="0" baseline="0">
              <a:solidFill>
                <a:schemeClr val="bg2">
                  <a:lumMod val="25000"/>
                </a:schemeClr>
              </a:solidFill>
              <a:latin typeface="Calibri"/>
              <a:ea typeface="Calibri"/>
              <a:cs typeface="Calibri"/>
            </a:rPr>
            <a:t>Avg Lead Time</a:t>
          </a:r>
          <a:endParaRPr lang="en-IN" sz="1800" b="1" i="0" normalizeH="0" baseline="0">
            <a:solidFill>
              <a:schemeClr val="bg2">
                <a:lumMod val="25000"/>
              </a:schemeClr>
            </a:solidFill>
          </a:endParaRPr>
        </a:p>
      </xdr:txBody>
    </xdr:sp>
    <xdr:clientData/>
  </xdr:twoCellAnchor>
  <xdr:twoCellAnchor editAs="oneCell">
    <xdr:from>
      <xdr:col>3</xdr:col>
      <xdr:colOff>0</xdr:colOff>
      <xdr:row>12</xdr:row>
      <xdr:rowOff>0</xdr:rowOff>
    </xdr:from>
    <xdr:to>
      <xdr:col>4</xdr:col>
      <xdr:colOff>7620</xdr:colOff>
      <xdr:row>13</xdr:row>
      <xdr:rowOff>7620</xdr:rowOff>
    </xdr:to>
    <xdr:pic>
      <xdr:nvPicPr>
        <xdr:cNvPr id="14" name="Picture 13">
          <a:extLst>
            <a:ext uri="{FF2B5EF4-FFF2-40B4-BE49-F238E27FC236}">
              <a16:creationId xmlns:a16="http://schemas.microsoft.com/office/drawing/2014/main" id="{4878C678-B456-7BAF-1DBF-B4B464AA15A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25880" y="2194560"/>
          <a:ext cx="61722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30480</xdr:colOff>
      <xdr:row>7</xdr:row>
      <xdr:rowOff>152400</xdr:rowOff>
    </xdr:from>
    <xdr:to>
      <xdr:col>7</xdr:col>
      <xdr:colOff>358140</xdr:colOff>
      <xdr:row>17</xdr:row>
      <xdr:rowOff>7620</xdr:rowOff>
    </xdr:to>
    <xdr:sp macro="" textlink="">
      <xdr:nvSpPr>
        <xdr:cNvPr id="15" name="Rectangle: Rounded Corners 14">
          <a:extLst>
            <a:ext uri="{FF2B5EF4-FFF2-40B4-BE49-F238E27FC236}">
              <a16:creationId xmlns:a16="http://schemas.microsoft.com/office/drawing/2014/main" id="{6990087E-F075-4C13-8B67-C265FC75CC47}"/>
            </a:ext>
          </a:extLst>
        </xdr:cNvPr>
        <xdr:cNvSpPr/>
      </xdr:nvSpPr>
      <xdr:spPr>
        <a:xfrm>
          <a:off x="137160" y="1432560"/>
          <a:ext cx="3985260" cy="1684020"/>
        </a:xfrm>
        <a:prstGeom prst="roundRect">
          <a:avLst/>
        </a:prstGeom>
        <a:solidFill>
          <a:schemeClr val="bg1"/>
        </a:solidFill>
        <a:ln>
          <a:solidFill>
            <a:schemeClr val="bg1"/>
          </a:solidFill>
        </a:ln>
        <a:effectLst>
          <a:glow rad="63500">
            <a:schemeClr val="accent2">
              <a:satMod val="175000"/>
              <a:alpha val="40000"/>
            </a:schemeClr>
          </a:glow>
          <a:outerShdw blurRad="50800" dist="38100" dir="2700000" algn="tl" rotWithShape="0">
            <a:prstClr val="black">
              <a:alpha val="40000"/>
            </a:prstClr>
          </a:outerShdw>
          <a:softEdge rad="12700"/>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800" b="1" i="0" normalizeH="0" baseline="0">
            <a:solidFill>
              <a:schemeClr val="accent2"/>
            </a:solidFill>
          </a:endParaRPr>
        </a:p>
      </xdr:txBody>
    </xdr:sp>
    <xdr:clientData/>
  </xdr:twoCellAnchor>
  <xdr:twoCellAnchor editAs="oneCell">
    <xdr:from>
      <xdr:col>21</xdr:col>
      <xdr:colOff>220980</xdr:colOff>
      <xdr:row>9</xdr:row>
      <xdr:rowOff>121921</xdr:rowOff>
    </xdr:from>
    <xdr:to>
      <xdr:col>23</xdr:col>
      <xdr:colOff>510540</xdr:colOff>
      <xdr:row>17</xdr:row>
      <xdr:rowOff>137161</xdr:rowOff>
    </xdr:to>
    <mc:AlternateContent xmlns:mc="http://schemas.openxmlformats.org/markup-compatibility/2006" xmlns:a14="http://schemas.microsoft.com/office/drawing/2010/main">
      <mc:Choice Requires="a14">
        <xdr:graphicFrame macro="">
          <xdr:nvGraphicFramePr>
            <xdr:cNvPr id="23" name="Transportation modes">
              <a:extLst>
                <a:ext uri="{FF2B5EF4-FFF2-40B4-BE49-F238E27FC236}">
                  <a16:creationId xmlns:a16="http://schemas.microsoft.com/office/drawing/2014/main" id="{F0B6A63A-056D-41C7-80DF-22D4A2BD7BF3}"/>
                </a:ext>
              </a:extLst>
            </xdr:cNvPr>
            <xdr:cNvGraphicFramePr/>
          </xdr:nvGraphicFramePr>
          <xdr:xfrm>
            <a:off x="0" y="0"/>
            <a:ext cx="0" cy="0"/>
          </xdr:xfrm>
          <a:graphic>
            <a:graphicData uri="http://schemas.microsoft.com/office/drawing/2010/slicer">
              <sle:slicer xmlns:sle="http://schemas.microsoft.com/office/drawing/2010/slicer" name="Transportation modes"/>
            </a:graphicData>
          </a:graphic>
        </xdr:graphicFrame>
      </mc:Choice>
      <mc:Fallback xmlns="">
        <xdr:sp macro="" textlink="">
          <xdr:nvSpPr>
            <xdr:cNvPr id="0" name=""/>
            <xdr:cNvSpPr>
              <a:spLocks noTextEdit="1"/>
            </xdr:cNvSpPr>
          </xdr:nvSpPr>
          <xdr:spPr>
            <a:xfrm>
              <a:off x="12519660" y="1767841"/>
              <a:ext cx="1508760" cy="14782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525780</xdr:colOff>
      <xdr:row>7</xdr:row>
      <xdr:rowOff>144780</xdr:rowOff>
    </xdr:from>
    <xdr:to>
      <xdr:col>14</xdr:col>
      <xdr:colOff>243840</xdr:colOff>
      <xdr:row>17</xdr:row>
      <xdr:rowOff>0</xdr:rowOff>
    </xdr:to>
    <xdr:sp macro="" textlink="">
      <xdr:nvSpPr>
        <xdr:cNvPr id="24" name="Rectangle: Rounded Corners 23">
          <a:extLst>
            <a:ext uri="{FF2B5EF4-FFF2-40B4-BE49-F238E27FC236}">
              <a16:creationId xmlns:a16="http://schemas.microsoft.com/office/drawing/2014/main" id="{757BED72-3EB3-431E-9F08-D4EAE49D6C8D}"/>
            </a:ext>
          </a:extLst>
        </xdr:cNvPr>
        <xdr:cNvSpPr/>
      </xdr:nvSpPr>
      <xdr:spPr>
        <a:xfrm>
          <a:off x="4290060" y="1424940"/>
          <a:ext cx="3985260" cy="1684020"/>
        </a:xfrm>
        <a:prstGeom prst="roundRect">
          <a:avLst/>
        </a:prstGeom>
        <a:solidFill>
          <a:schemeClr val="bg1"/>
        </a:solidFill>
        <a:ln>
          <a:solidFill>
            <a:schemeClr val="bg1"/>
          </a:solidFill>
        </a:ln>
        <a:effectLst>
          <a:glow rad="63500">
            <a:schemeClr val="accent2">
              <a:satMod val="175000"/>
              <a:alpha val="40000"/>
            </a:schemeClr>
          </a:glow>
          <a:outerShdw blurRad="50800" dist="38100" dir="2700000" algn="tl" rotWithShape="0">
            <a:prstClr val="black">
              <a:alpha val="40000"/>
            </a:prstClr>
          </a:outerShdw>
          <a:softEdge rad="12700"/>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800" b="1" i="0" normalizeH="0" baseline="0">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accent2">
                <a:alpha val="13000"/>
              </a:schemeClr>
            </a:solidFill>
            <a:effectLst>
              <a:outerShdw blurRad="50800" dist="50800" dir="5400000" sx="189000" sy="189000" algn="ctr" rotWithShape="0">
                <a:srgbClr val="000000">
                  <a:alpha val="43137"/>
                </a:srgbClr>
              </a:outerShdw>
            </a:effectLst>
          </a:endParaRPr>
        </a:p>
      </xdr:txBody>
    </xdr:sp>
    <xdr:clientData/>
  </xdr:twoCellAnchor>
  <xdr:twoCellAnchor>
    <xdr:from>
      <xdr:col>14</xdr:col>
      <xdr:colOff>365760</xdr:colOff>
      <xdr:row>7</xdr:row>
      <xdr:rowOff>144780</xdr:rowOff>
    </xdr:from>
    <xdr:to>
      <xdr:col>21</xdr:col>
      <xdr:colOff>83820</xdr:colOff>
      <xdr:row>17</xdr:row>
      <xdr:rowOff>0</xdr:rowOff>
    </xdr:to>
    <xdr:sp macro="" textlink="">
      <xdr:nvSpPr>
        <xdr:cNvPr id="25" name="Rectangle: Rounded Corners 24">
          <a:extLst>
            <a:ext uri="{FF2B5EF4-FFF2-40B4-BE49-F238E27FC236}">
              <a16:creationId xmlns:a16="http://schemas.microsoft.com/office/drawing/2014/main" id="{BA35FD53-2098-40BC-9880-1B29E1B8E696}"/>
            </a:ext>
          </a:extLst>
        </xdr:cNvPr>
        <xdr:cNvSpPr/>
      </xdr:nvSpPr>
      <xdr:spPr>
        <a:xfrm>
          <a:off x="8397240" y="1424940"/>
          <a:ext cx="3985260" cy="1684020"/>
        </a:xfrm>
        <a:prstGeom prst="roundRect">
          <a:avLst/>
        </a:prstGeom>
        <a:solidFill>
          <a:schemeClr val="bg1"/>
        </a:solidFill>
        <a:ln>
          <a:solidFill>
            <a:schemeClr val="bg1"/>
          </a:solidFill>
        </a:ln>
        <a:effectLst>
          <a:glow rad="63500">
            <a:schemeClr val="accent2">
              <a:satMod val="175000"/>
              <a:alpha val="40000"/>
            </a:schemeClr>
          </a:glow>
          <a:outerShdw blurRad="50800" dist="38100" dir="2700000" algn="tl" rotWithShape="0">
            <a:prstClr val="black">
              <a:alpha val="40000"/>
            </a:prstClr>
          </a:outerShdw>
          <a:softEdge rad="12700"/>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800" b="1" i="0" normalizeH="0" baseline="0">
            <a:solidFill>
              <a:schemeClr val="accent2"/>
            </a:solidFill>
          </a:endParaRPr>
        </a:p>
      </xdr:txBody>
    </xdr:sp>
    <xdr:clientData/>
  </xdr:twoCellAnchor>
  <xdr:twoCellAnchor>
    <xdr:from>
      <xdr:col>1</xdr:col>
      <xdr:colOff>30480</xdr:colOff>
      <xdr:row>17</xdr:row>
      <xdr:rowOff>144780</xdr:rowOff>
    </xdr:from>
    <xdr:to>
      <xdr:col>7</xdr:col>
      <xdr:colOff>358140</xdr:colOff>
      <xdr:row>27</xdr:row>
      <xdr:rowOff>0</xdr:rowOff>
    </xdr:to>
    <xdr:sp macro="" textlink="">
      <xdr:nvSpPr>
        <xdr:cNvPr id="26" name="Rectangle: Rounded Corners 25">
          <a:extLst>
            <a:ext uri="{FF2B5EF4-FFF2-40B4-BE49-F238E27FC236}">
              <a16:creationId xmlns:a16="http://schemas.microsoft.com/office/drawing/2014/main" id="{9504E7B5-6273-4608-B1E6-0BA8BA1E39CA}"/>
            </a:ext>
          </a:extLst>
        </xdr:cNvPr>
        <xdr:cNvSpPr/>
      </xdr:nvSpPr>
      <xdr:spPr>
        <a:xfrm>
          <a:off x="137160" y="3253740"/>
          <a:ext cx="3985260" cy="1684020"/>
        </a:xfrm>
        <a:prstGeom prst="roundRect">
          <a:avLst/>
        </a:prstGeom>
        <a:solidFill>
          <a:schemeClr val="bg1"/>
        </a:solidFill>
        <a:ln>
          <a:solidFill>
            <a:schemeClr val="bg1"/>
          </a:solidFill>
        </a:ln>
        <a:effectLst>
          <a:glow rad="63500">
            <a:schemeClr val="accent2">
              <a:satMod val="175000"/>
              <a:alpha val="40000"/>
            </a:schemeClr>
          </a:glow>
          <a:outerShdw blurRad="50800" dist="38100" dir="2700000" algn="tl" rotWithShape="0">
            <a:prstClr val="black">
              <a:alpha val="40000"/>
            </a:prstClr>
          </a:outerShdw>
          <a:softEdge rad="12700"/>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800" b="1" i="0" normalizeH="0" baseline="0">
            <a:solidFill>
              <a:schemeClr val="accent2"/>
            </a:solidFill>
          </a:endParaRPr>
        </a:p>
      </xdr:txBody>
    </xdr:sp>
    <xdr:clientData/>
  </xdr:twoCellAnchor>
  <xdr:twoCellAnchor>
    <xdr:from>
      <xdr:col>7</xdr:col>
      <xdr:colOff>548640</xdr:colOff>
      <xdr:row>17</xdr:row>
      <xdr:rowOff>144780</xdr:rowOff>
    </xdr:from>
    <xdr:to>
      <xdr:col>14</xdr:col>
      <xdr:colOff>266700</xdr:colOff>
      <xdr:row>27</xdr:row>
      <xdr:rowOff>0</xdr:rowOff>
    </xdr:to>
    <xdr:sp macro="" textlink="">
      <xdr:nvSpPr>
        <xdr:cNvPr id="27" name="Rectangle: Rounded Corners 26">
          <a:extLst>
            <a:ext uri="{FF2B5EF4-FFF2-40B4-BE49-F238E27FC236}">
              <a16:creationId xmlns:a16="http://schemas.microsoft.com/office/drawing/2014/main" id="{CE8B4535-382F-4870-8D25-F93E97E7233C}"/>
            </a:ext>
          </a:extLst>
        </xdr:cNvPr>
        <xdr:cNvSpPr/>
      </xdr:nvSpPr>
      <xdr:spPr>
        <a:xfrm>
          <a:off x="4312920" y="3253740"/>
          <a:ext cx="3985260" cy="1684020"/>
        </a:xfrm>
        <a:prstGeom prst="roundRect">
          <a:avLst/>
        </a:prstGeom>
        <a:solidFill>
          <a:schemeClr val="bg1"/>
        </a:solidFill>
        <a:ln>
          <a:solidFill>
            <a:schemeClr val="bg1"/>
          </a:solidFill>
        </a:ln>
        <a:effectLst>
          <a:glow rad="63500">
            <a:schemeClr val="accent2">
              <a:satMod val="175000"/>
              <a:alpha val="40000"/>
            </a:schemeClr>
          </a:glow>
          <a:outerShdw blurRad="50800" dist="38100" dir="2700000" algn="tl" rotWithShape="0">
            <a:prstClr val="black">
              <a:alpha val="40000"/>
            </a:prstClr>
          </a:outerShdw>
          <a:softEdge rad="12700"/>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800" b="1" i="0" normalizeH="0" baseline="0">
            <a:solidFill>
              <a:schemeClr val="accent2"/>
            </a:solidFill>
          </a:endParaRPr>
        </a:p>
      </xdr:txBody>
    </xdr:sp>
    <xdr:clientData/>
  </xdr:twoCellAnchor>
  <xdr:twoCellAnchor>
    <xdr:from>
      <xdr:col>14</xdr:col>
      <xdr:colOff>396240</xdr:colOff>
      <xdr:row>17</xdr:row>
      <xdr:rowOff>106680</xdr:rowOff>
    </xdr:from>
    <xdr:to>
      <xdr:col>21</xdr:col>
      <xdr:colOff>114300</xdr:colOff>
      <xdr:row>26</xdr:row>
      <xdr:rowOff>144780</xdr:rowOff>
    </xdr:to>
    <xdr:sp macro="" textlink="">
      <xdr:nvSpPr>
        <xdr:cNvPr id="28" name="Rectangle: Rounded Corners 27">
          <a:extLst>
            <a:ext uri="{FF2B5EF4-FFF2-40B4-BE49-F238E27FC236}">
              <a16:creationId xmlns:a16="http://schemas.microsoft.com/office/drawing/2014/main" id="{F587598F-B458-4E2B-A4CA-8FE51D118B61}"/>
            </a:ext>
          </a:extLst>
        </xdr:cNvPr>
        <xdr:cNvSpPr/>
      </xdr:nvSpPr>
      <xdr:spPr>
        <a:xfrm>
          <a:off x="8427720" y="3215640"/>
          <a:ext cx="3985260" cy="1684020"/>
        </a:xfrm>
        <a:prstGeom prst="roundRect">
          <a:avLst/>
        </a:prstGeom>
        <a:solidFill>
          <a:schemeClr val="bg1"/>
        </a:solidFill>
        <a:ln>
          <a:solidFill>
            <a:schemeClr val="bg1"/>
          </a:solidFill>
        </a:ln>
        <a:effectLst>
          <a:glow rad="63500">
            <a:schemeClr val="accent2">
              <a:satMod val="175000"/>
              <a:alpha val="40000"/>
            </a:schemeClr>
          </a:glow>
          <a:outerShdw blurRad="50800" dist="38100" dir="2700000" algn="tl" rotWithShape="0">
            <a:prstClr val="black">
              <a:alpha val="40000"/>
            </a:prstClr>
          </a:outerShdw>
          <a:softEdge rad="12700"/>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800" b="1" i="0" normalizeH="0" baseline="0">
            <a:solidFill>
              <a:schemeClr val="accent2"/>
            </a:solidFill>
          </a:endParaRPr>
        </a:p>
      </xdr:txBody>
    </xdr:sp>
    <xdr:clientData/>
  </xdr:twoCellAnchor>
  <xdr:twoCellAnchor>
    <xdr:from>
      <xdr:col>1</xdr:col>
      <xdr:colOff>15240</xdr:colOff>
      <xdr:row>8</xdr:row>
      <xdr:rowOff>7620</xdr:rowOff>
    </xdr:from>
    <xdr:to>
      <xdr:col>7</xdr:col>
      <xdr:colOff>358140</xdr:colOff>
      <xdr:row>16</xdr:row>
      <xdr:rowOff>152400</xdr:rowOff>
    </xdr:to>
    <xdr:graphicFrame macro="">
      <xdr:nvGraphicFramePr>
        <xdr:cNvPr id="29" name="Chart 28">
          <a:extLst>
            <a:ext uri="{FF2B5EF4-FFF2-40B4-BE49-F238E27FC236}">
              <a16:creationId xmlns:a16="http://schemas.microsoft.com/office/drawing/2014/main" id="{1796CCF2-184B-4B2C-8B26-DC5C0F8941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579120</xdr:colOff>
      <xdr:row>7</xdr:row>
      <xdr:rowOff>167639</xdr:rowOff>
    </xdr:from>
    <xdr:to>
      <xdr:col>14</xdr:col>
      <xdr:colOff>213360</xdr:colOff>
      <xdr:row>17</xdr:row>
      <xdr:rowOff>30480</xdr:rowOff>
    </xdr:to>
    <xdr:graphicFrame macro="">
      <xdr:nvGraphicFramePr>
        <xdr:cNvPr id="30" name="Chart 29">
          <a:extLst>
            <a:ext uri="{FF2B5EF4-FFF2-40B4-BE49-F238E27FC236}">
              <a16:creationId xmlns:a16="http://schemas.microsoft.com/office/drawing/2014/main" id="{C15F2599-BC9F-4FFC-ADD6-5BF1067C31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525780</xdr:colOff>
      <xdr:row>17</xdr:row>
      <xdr:rowOff>160019</xdr:rowOff>
    </xdr:from>
    <xdr:to>
      <xdr:col>14</xdr:col>
      <xdr:colOff>274320</xdr:colOff>
      <xdr:row>27</xdr:row>
      <xdr:rowOff>0</xdr:rowOff>
    </xdr:to>
    <xdr:graphicFrame macro="">
      <xdr:nvGraphicFramePr>
        <xdr:cNvPr id="31" name="Chart 30">
          <a:extLst>
            <a:ext uri="{FF2B5EF4-FFF2-40B4-BE49-F238E27FC236}">
              <a16:creationId xmlns:a16="http://schemas.microsoft.com/office/drawing/2014/main" id="{7626EF55-68E9-4618-A61F-8DCBB6A9D6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342900</xdr:colOff>
      <xdr:row>7</xdr:row>
      <xdr:rowOff>144780</xdr:rowOff>
    </xdr:from>
    <xdr:to>
      <xdr:col>21</xdr:col>
      <xdr:colOff>60960</xdr:colOff>
      <xdr:row>17</xdr:row>
      <xdr:rowOff>7621</xdr:rowOff>
    </xdr:to>
    <xdr:graphicFrame macro="">
      <xdr:nvGraphicFramePr>
        <xdr:cNvPr id="32" name="Chart 31">
          <a:extLst>
            <a:ext uri="{FF2B5EF4-FFF2-40B4-BE49-F238E27FC236}">
              <a16:creationId xmlns:a16="http://schemas.microsoft.com/office/drawing/2014/main" id="{859A6375-D30E-41F7-8346-FDC45943F4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53340</xdr:colOff>
      <xdr:row>17</xdr:row>
      <xdr:rowOff>99061</xdr:rowOff>
    </xdr:from>
    <xdr:to>
      <xdr:col>7</xdr:col>
      <xdr:colOff>358140</xdr:colOff>
      <xdr:row>27</xdr:row>
      <xdr:rowOff>15241</xdr:rowOff>
    </xdr:to>
    <xdr:graphicFrame macro="">
      <xdr:nvGraphicFramePr>
        <xdr:cNvPr id="33" name="Chart 32">
          <a:extLst>
            <a:ext uri="{FF2B5EF4-FFF2-40B4-BE49-F238E27FC236}">
              <a16:creationId xmlns:a16="http://schemas.microsoft.com/office/drawing/2014/main" id="{E94AF4AD-F9B9-4E31-B746-CBC9BF9285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396240</xdr:colOff>
      <xdr:row>17</xdr:row>
      <xdr:rowOff>106681</xdr:rowOff>
    </xdr:from>
    <xdr:to>
      <xdr:col>21</xdr:col>
      <xdr:colOff>137160</xdr:colOff>
      <xdr:row>26</xdr:row>
      <xdr:rowOff>152401</xdr:rowOff>
    </xdr:to>
    <xdr:graphicFrame macro="">
      <xdr:nvGraphicFramePr>
        <xdr:cNvPr id="34" name="Chart 33">
          <a:extLst>
            <a:ext uri="{FF2B5EF4-FFF2-40B4-BE49-F238E27FC236}">
              <a16:creationId xmlns:a16="http://schemas.microsoft.com/office/drawing/2014/main" id="{69C94EC6-69DD-43F4-9D9B-9092ADDB54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21</xdr:col>
      <xdr:colOff>236220</xdr:colOff>
      <xdr:row>2</xdr:row>
      <xdr:rowOff>137160</xdr:rowOff>
    </xdr:from>
    <xdr:to>
      <xdr:col>23</xdr:col>
      <xdr:colOff>518160</xdr:colOff>
      <xdr:row>9</xdr:row>
      <xdr:rowOff>53340</xdr:rowOff>
    </xdr:to>
    <mc:AlternateContent xmlns:mc="http://schemas.openxmlformats.org/markup-compatibility/2006" xmlns:a14="http://schemas.microsoft.com/office/drawing/2010/main">
      <mc:Choice Requires="a14">
        <xdr:graphicFrame macro="">
          <xdr:nvGraphicFramePr>
            <xdr:cNvPr id="35" name="Stocks Level">
              <a:extLst>
                <a:ext uri="{FF2B5EF4-FFF2-40B4-BE49-F238E27FC236}">
                  <a16:creationId xmlns:a16="http://schemas.microsoft.com/office/drawing/2014/main" id="{D16506FE-A773-43BE-A017-8146611E3EA0}"/>
                </a:ext>
              </a:extLst>
            </xdr:cNvPr>
            <xdr:cNvGraphicFramePr/>
          </xdr:nvGraphicFramePr>
          <xdr:xfrm>
            <a:off x="0" y="0"/>
            <a:ext cx="0" cy="0"/>
          </xdr:xfrm>
          <a:graphic>
            <a:graphicData uri="http://schemas.microsoft.com/office/drawing/2010/slicer">
              <sle:slicer xmlns:sle="http://schemas.microsoft.com/office/drawing/2010/slicer" name="Stocks Level"/>
            </a:graphicData>
          </a:graphic>
        </xdr:graphicFrame>
      </mc:Choice>
      <mc:Fallback xmlns="">
        <xdr:sp macro="" textlink="">
          <xdr:nvSpPr>
            <xdr:cNvPr id="0" name=""/>
            <xdr:cNvSpPr>
              <a:spLocks noTextEdit="1"/>
            </xdr:cNvSpPr>
          </xdr:nvSpPr>
          <xdr:spPr>
            <a:xfrm>
              <a:off x="12534900" y="502920"/>
              <a:ext cx="1501140" cy="11963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213360</xdr:colOff>
      <xdr:row>18</xdr:row>
      <xdr:rowOff>45720</xdr:rowOff>
    </xdr:from>
    <xdr:to>
      <xdr:col>23</xdr:col>
      <xdr:colOff>510540</xdr:colOff>
      <xdr:row>27</xdr:row>
      <xdr:rowOff>99060</xdr:rowOff>
    </xdr:to>
    <mc:AlternateContent xmlns:mc="http://schemas.openxmlformats.org/markup-compatibility/2006" xmlns:a14="http://schemas.microsoft.com/office/drawing/2010/main">
      <mc:Choice Requires="a14">
        <xdr:graphicFrame macro="">
          <xdr:nvGraphicFramePr>
            <xdr:cNvPr id="36" name="Location">
              <a:extLst>
                <a:ext uri="{FF2B5EF4-FFF2-40B4-BE49-F238E27FC236}">
                  <a16:creationId xmlns:a16="http://schemas.microsoft.com/office/drawing/2014/main" id="{03FBF032-C8AD-4639-BAC8-79AD995ACEC0}"/>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mlns="">
        <xdr:sp macro="" textlink="">
          <xdr:nvSpPr>
            <xdr:cNvPr id="0" name=""/>
            <xdr:cNvSpPr>
              <a:spLocks noTextEdit="1"/>
            </xdr:cNvSpPr>
          </xdr:nvSpPr>
          <xdr:spPr>
            <a:xfrm>
              <a:off x="12512040" y="3337560"/>
              <a:ext cx="1516380" cy="16992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259080</xdr:colOff>
      <xdr:row>3</xdr:row>
      <xdr:rowOff>45720</xdr:rowOff>
    </xdr:from>
    <xdr:to>
      <xdr:col>7</xdr:col>
      <xdr:colOff>312420</xdr:colOff>
      <xdr:row>7</xdr:row>
      <xdr:rowOff>53340</xdr:rowOff>
    </xdr:to>
    <xdr:sp macro="" textlink="Kpis!D4">
      <xdr:nvSpPr>
        <xdr:cNvPr id="38" name="Rectangle: Rounded Corners 37">
          <a:extLst>
            <a:ext uri="{FF2B5EF4-FFF2-40B4-BE49-F238E27FC236}">
              <a16:creationId xmlns:a16="http://schemas.microsoft.com/office/drawing/2014/main" id="{DDC86DEF-6C0E-4D05-B9AF-D93B0332A4D5}"/>
            </a:ext>
          </a:extLst>
        </xdr:cNvPr>
        <xdr:cNvSpPr/>
      </xdr:nvSpPr>
      <xdr:spPr>
        <a:xfrm>
          <a:off x="2194560" y="594360"/>
          <a:ext cx="1882140" cy="739140"/>
        </a:xfrm>
        <a:prstGeom prst="roundRect">
          <a:avLst/>
        </a:prstGeom>
        <a:solidFill>
          <a:schemeClr val="bg1"/>
        </a:solidFill>
        <a:ln>
          <a:solidFill>
            <a:schemeClr val="bg1"/>
          </a:solidFill>
        </a:ln>
        <a:effectLst>
          <a:glow rad="63500">
            <a:schemeClr val="accent2">
              <a:satMod val="175000"/>
              <a:alpha val="40000"/>
            </a:schemeClr>
          </a:glow>
          <a:outerShdw blurRad="50800" dist="38100" dir="2700000" algn="tl" rotWithShape="0">
            <a:prstClr val="black">
              <a:alpha val="40000"/>
            </a:prstClr>
          </a:outerShdw>
          <a:softEdge rad="12700"/>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2B9113F9-42DB-4BEC-A27A-E0B5FF2A7B0B}" type="TxLink">
            <a:rPr lang="en-US" sz="1600" b="1" i="0" u="none" strike="noStrike" normalizeH="0" baseline="0">
              <a:solidFill>
                <a:schemeClr val="bg2">
                  <a:lumMod val="25000"/>
                </a:schemeClr>
              </a:solidFill>
              <a:latin typeface="Calibri"/>
              <a:ea typeface="Calibri"/>
              <a:cs typeface="Calibri"/>
            </a:rPr>
            <a:pPr algn="ctr"/>
            <a:t>₹ 5,77,604.82</a:t>
          </a:fld>
          <a:endParaRPr lang="en-US" sz="1600" b="1" i="0" u="none" strike="noStrike" normalizeH="0" baseline="0">
            <a:solidFill>
              <a:schemeClr val="bg2">
                <a:lumMod val="25000"/>
              </a:schemeClr>
            </a:solidFill>
            <a:latin typeface="Calibri"/>
            <a:ea typeface="Calibri"/>
            <a:cs typeface="Calibri"/>
          </a:endParaRPr>
        </a:p>
        <a:p>
          <a:pPr algn="ctr"/>
          <a:r>
            <a:rPr lang="en-US" sz="1600" b="1" i="0" u="none" strike="noStrike" normalizeH="0" baseline="0">
              <a:solidFill>
                <a:schemeClr val="bg2">
                  <a:lumMod val="25000"/>
                </a:schemeClr>
              </a:solidFill>
              <a:latin typeface="Calibri"/>
              <a:ea typeface="Calibri"/>
              <a:cs typeface="Calibri"/>
            </a:rPr>
            <a:t>Total Revenue</a:t>
          </a:r>
          <a:endParaRPr lang="en-IN" sz="1600" b="1" i="0" u="none" normalizeH="0" baseline="0">
            <a:solidFill>
              <a:schemeClr val="bg2">
                <a:lumMod val="25000"/>
              </a:schemeClr>
            </a:solidFill>
          </a:endParaRP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idharth jogi" refreshedDate="46186.690306365737" backgroundQuery="1" createdVersion="8" refreshedVersion="8" minRefreshableVersion="3" recordCount="0" supportSubquery="1" supportAdvancedDrill="1" xr:uid="{EC2595E9-8A4C-4AC2-BC1F-E188ED80EB7B}">
  <cacheSource type="external" connectionId="2"/>
  <cacheFields count="10">
    <cacheField name="[Measures].[Total Products]" caption="Total Products" numFmtId="0" hierarchy="27" level="32767"/>
    <cacheField name="[Measures].[Total Stock]" caption="Total Stock" numFmtId="0" hierarchy="28" level="32767"/>
    <cacheField name="[Measures].[Avgerage Lead Time]" caption="Avgerage Lead Time" numFmtId="0" hierarchy="30" level="32767"/>
    <cacheField name="[Measures].[Total Revenue ]" caption="Total Revenue " numFmtId="0" hierarchy="29" level="32767"/>
    <cacheField name="[Measures].[Low Stock Count]" caption="Low Stock Count" numFmtId="0" hierarchy="32" level="32767"/>
    <cacheField name="[Measures].[Avg Shipping Cost]" caption="Avg Shipping Cost" numFmtId="0" hierarchy="31" level="32767"/>
    <cacheField name="[Measures].[Avg Defect Cost]" caption="Avg Defect Cost" numFmtId="0" hierarchy="33" level="32767"/>
    <cacheField name="[Measures].[Total Manufacturing Cost]" caption="Total Manufacturing Cost" numFmtId="0" hierarchy="34" level="32767"/>
    <cacheField name="[Measures].[Total Units Sold]" caption="Total Units Sold" numFmtId="0" hierarchy="35" level="32767"/>
    <cacheField name="[supply].[Stocks Level].[Stocks Level]" caption="Stocks Level" numFmtId="0" hierarchy="9" level="1">
      <sharedItems containsSemiMixedTypes="0" containsNonDate="0" containsString="0"/>
    </cacheField>
  </cacheFields>
  <cacheHierarchies count="39">
    <cacheHierarchy uniqueName="[supply].[Product type]" caption="Product type" attribute="1" defaultMemberUniqueName="[supply].[Product type].[All]" allUniqueName="[supply].[Product type].[All]" dimensionUniqueName="[supply]" displayFolder="" count="0" memberValueDatatype="130" unbalanced="0"/>
    <cacheHierarchy uniqueName="[supply].[SKU]" caption="SKU" attribute="1" defaultMemberUniqueName="[supply].[SKU].[All]" allUniqueName="[supply].[SKU].[All]" dimensionUniqueName="[supply]" displayFolder="" count="0" memberValueDatatype="130" unbalanced="0"/>
    <cacheHierarchy uniqueName="[supply].[Price]" caption="Price" attribute="1" defaultMemberUniqueName="[supply].[Price].[All]" allUniqueName="[supply].[Price].[All]" dimensionUniqueName="[supply]" displayFolder="" count="0" memberValueDatatype="5" unbalanced="0"/>
    <cacheHierarchy uniqueName="[supply].[Availability]" caption="Availability" attribute="1" defaultMemberUniqueName="[supply].[Availability].[All]" allUniqueName="[supply].[Availability].[All]" dimensionUniqueName="[supply]" displayFolder="" count="0" memberValueDatatype="20" unbalanced="0"/>
    <cacheHierarchy uniqueName="[supply].[Availabi;ity Level]" caption="Availabi;ity Level" attribute="1" defaultMemberUniqueName="[supply].[Availabi;ity Level].[All]" allUniqueName="[supply].[Availabi;ity Level].[All]" dimensionUniqueName="[supply]" displayFolder="" count="0" memberValueDatatype="130" unbalanced="0"/>
    <cacheHierarchy uniqueName="[supply].[Number of products sold]" caption="Number of products sold" attribute="1" defaultMemberUniqueName="[supply].[Number of products sold].[All]" allUniqueName="[supply].[Number of products sold].[All]" dimensionUniqueName="[supply]" displayFolder="" count="0" memberValueDatatype="20" unbalanced="0"/>
    <cacheHierarchy uniqueName="[supply].[Revenue generated]" caption="Revenue generated" attribute="1" defaultMemberUniqueName="[supply].[Revenue generated].[All]" allUniqueName="[supply].[Revenue generated].[All]" dimensionUniqueName="[supply]" displayFolder="" count="0" memberValueDatatype="5" unbalanced="0"/>
    <cacheHierarchy uniqueName="[supply].[Customer demographics]" caption="Customer demographics" attribute="1" defaultMemberUniqueName="[supply].[Customer demographics].[All]" allUniqueName="[supply].[Customer demographics].[All]" dimensionUniqueName="[supply]" displayFolder="" count="0" memberValueDatatype="130" unbalanced="0"/>
    <cacheHierarchy uniqueName="[supply].[Stocks]" caption="Stocks" attribute="1" defaultMemberUniqueName="[supply].[Stocks].[All]" allUniqueName="[supply].[Stocks].[All]" dimensionUniqueName="[supply]" displayFolder="" count="0" memberValueDatatype="20" unbalanced="0"/>
    <cacheHierarchy uniqueName="[supply].[Stocks Level]" caption="Stocks Level" attribute="1" defaultMemberUniqueName="[supply].[Stocks Level].[All]" allUniqueName="[supply].[Stocks Level].[All]" dimensionUniqueName="[supply]" displayFolder="" count="2" memberValueDatatype="130" unbalanced="0">
      <fieldsUsage count="2">
        <fieldUsage x="-1"/>
        <fieldUsage x="9"/>
      </fieldsUsage>
    </cacheHierarchy>
    <cacheHierarchy uniqueName="[supply].[Lead times]" caption="Lead times" attribute="1" defaultMemberUniqueName="[supply].[Lead times].[All]" allUniqueName="[supply].[Lead times].[All]" dimensionUniqueName="[supply]" displayFolder="" count="0" memberValueDatatype="20" unbalanced="0"/>
    <cacheHierarchy uniqueName="[supply].[Order quantities]" caption="Order quantities" attribute="1" defaultMemberUniqueName="[supply].[Order quantities].[All]" allUniqueName="[supply].[Order quantities].[All]" dimensionUniqueName="[supply]" displayFolder="" count="0" memberValueDatatype="20" unbalanced="0"/>
    <cacheHierarchy uniqueName="[supply].[Shipping times]" caption="Shipping times" attribute="1" defaultMemberUniqueName="[supply].[Shipping times].[All]" allUniqueName="[supply].[Shipping times].[All]" dimensionUniqueName="[supply]" displayFolder="" count="0" memberValueDatatype="20" unbalanced="0"/>
    <cacheHierarchy uniqueName="[supply].[Shipping carriers]" caption="Shipping carriers" attribute="1" defaultMemberUniqueName="[supply].[Shipping carriers].[All]" allUniqueName="[supply].[Shipping carriers].[All]" dimensionUniqueName="[supply]" displayFolder="" count="0" memberValueDatatype="130" unbalanced="0"/>
    <cacheHierarchy uniqueName="[supply].[Shipping costs]" caption="Shipping costs" attribute="1" defaultMemberUniqueName="[supply].[Shipping costs].[All]" allUniqueName="[supply].[Shipping costs].[All]" dimensionUniqueName="[supply]" displayFolder="" count="0" memberValueDatatype="5" unbalanced="0"/>
    <cacheHierarchy uniqueName="[supply].[Supplier name]" caption="Supplier name" attribute="1" defaultMemberUniqueName="[supply].[Supplier name].[All]" allUniqueName="[supply].[Supplier name].[All]" dimensionUniqueName="[supply]" displayFolder="" count="0" memberValueDatatype="130" unbalanced="0"/>
    <cacheHierarchy uniqueName="[supply].[Location]" caption="Location" attribute="1" defaultMemberUniqueName="[supply].[Location].[All]" allUniqueName="[supply].[Location].[All]" dimensionUniqueName="[supply]" displayFolder="" count="2" memberValueDatatype="130" unbalanced="0"/>
    <cacheHierarchy uniqueName="[supply].[Lead time]" caption="Lead time" attribute="1" defaultMemberUniqueName="[supply].[Lead time].[All]" allUniqueName="[supply].[Lead time].[All]" dimensionUniqueName="[supply]" displayFolder="" count="0" memberValueDatatype="20" unbalanced="0"/>
    <cacheHierarchy uniqueName="[supply].[Production volumes]" caption="Production volumes" attribute="1" defaultMemberUniqueName="[supply].[Production volumes].[All]" allUniqueName="[supply].[Production volumes].[All]" dimensionUniqueName="[supply]" displayFolder="" count="0" memberValueDatatype="20" unbalanced="0"/>
    <cacheHierarchy uniqueName="[supply].[Manufacturing lead time]" caption="Manufacturing lead time" attribute="1" defaultMemberUniqueName="[supply].[Manufacturing lead time].[All]" allUniqueName="[supply].[Manufacturing lead time].[All]" dimensionUniqueName="[supply]" displayFolder="" count="0" memberValueDatatype="20" unbalanced="0"/>
    <cacheHierarchy uniqueName="[supply].[Manufacturing costs]" caption="Manufacturing costs" attribute="1" defaultMemberUniqueName="[supply].[Manufacturing costs].[All]" allUniqueName="[supply].[Manufacturing costs].[All]" dimensionUniqueName="[supply]" displayFolder="" count="0" memberValueDatatype="5" unbalanced="0"/>
    <cacheHierarchy uniqueName="[supply].[Inspection results]" caption="Inspection results" attribute="1" defaultMemberUniqueName="[supply].[Inspection results].[All]" allUniqueName="[supply].[Inspection results].[All]" dimensionUniqueName="[supply]" displayFolder="" count="0" memberValueDatatype="130" unbalanced="0"/>
    <cacheHierarchy uniqueName="[supply].[Defect rates]" caption="Defect rates" attribute="1" defaultMemberUniqueName="[supply].[Defect rates].[All]" allUniqueName="[supply].[Defect rates].[All]" dimensionUniqueName="[supply]" displayFolder="" count="0" memberValueDatatype="5" unbalanced="0"/>
    <cacheHierarchy uniqueName="[supply].[Transportation modes]" caption="Transportation modes" attribute="1" defaultMemberUniqueName="[supply].[Transportation modes].[All]" allUniqueName="[supply].[Transportation modes].[All]" dimensionUniqueName="[supply]" displayFolder="" count="2" memberValueDatatype="130" unbalanced="0"/>
    <cacheHierarchy uniqueName="[supply].[Routes]" caption="Routes" attribute="1" defaultMemberUniqueName="[supply].[Routes].[All]" allUniqueName="[supply].[Routes].[All]" dimensionUniqueName="[supply]" displayFolder="" count="0" memberValueDatatype="130" unbalanced="0"/>
    <cacheHierarchy uniqueName="[supply].[Costs]" caption="Costs" attribute="1" defaultMemberUniqueName="[supply].[Costs].[All]" allUniqueName="[supply].[Costs].[All]" dimensionUniqueName="[supply]" displayFolder="" count="0" memberValueDatatype="5" unbalanced="0"/>
    <cacheHierarchy uniqueName="[Measures].[Sum of Shipping costs]" caption="Sum of Shipping costs" measure="1" displayFolder="" measureGroup="supply" count="0">
      <extLst>
        <ext xmlns:x15="http://schemas.microsoft.com/office/spreadsheetml/2010/11/main" uri="{B97F6D7D-B522-45F9-BDA1-12C45D357490}">
          <x15:cacheHierarchy aggregatedColumn="14"/>
        </ext>
      </extLst>
    </cacheHierarchy>
    <cacheHierarchy uniqueName="[Measures].[Total Products]" caption="Total Products" measure="1" displayFolder="" measureGroup="supply" count="0" oneField="1">
      <fieldsUsage count="1">
        <fieldUsage x="0"/>
      </fieldsUsage>
    </cacheHierarchy>
    <cacheHierarchy uniqueName="[Measures].[Total Stock]" caption="Total Stock" measure="1" displayFolder="" measureGroup="supply" count="0" oneField="1">
      <fieldsUsage count="1">
        <fieldUsage x="1"/>
      </fieldsUsage>
    </cacheHierarchy>
    <cacheHierarchy uniqueName="[Measures].[Total Revenue ]" caption="Total Revenue " measure="1" displayFolder="" measureGroup="supply" count="0" oneField="1">
      <fieldsUsage count="1">
        <fieldUsage x="3"/>
      </fieldsUsage>
    </cacheHierarchy>
    <cacheHierarchy uniqueName="[Measures].[Avgerage Lead Time]" caption="Avgerage Lead Time" measure="1" displayFolder="" measureGroup="supply" count="0" oneField="1">
      <fieldsUsage count="1">
        <fieldUsage x="2"/>
      </fieldsUsage>
    </cacheHierarchy>
    <cacheHierarchy uniqueName="[Measures].[Avg Shipping Cost]" caption="Avg Shipping Cost" measure="1" displayFolder="" measureGroup="supply" count="0" oneField="1">
      <fieldsUsage count="1">
        <fieldUsage x="5"/>
      </fieldsUsage>
    </cacheHierarchy>
    <cacheHierarchy uniqueName="[Measures].[Low Stock Count]" caption="Low Stock Count" measure="1" displayFolder="" measureGroup="supply" count="0" oneField="1">
      <fieldsUsage count="1">
        <fieldUsage x="4"/>
      </fieldsUsage>
    </cacheHierarchy>
    <cacheHierarchy uniqueName="[Measures].[Avg Defect Cost]" caption="Avg Defect Cost" measure="1" displayFolder="" measureGroup="supply" count="0" oneField="1">
      <fieldsUsage count="1">
        <fieldUsage x="6"/>
      </fieldsUsage>
    </cacheHierarchy>
    <cacheHierarchy uniqueName="[Measures].[Total Manufacturing Cost]" caption="Total Manufacturing Cost" measure="1" displayFolder="" measureGroup="supply" count="0" oneField="1">
      <fieldsUsage count="1">
        <fieldUsage x="7"/>
      </fieldsUsage>
    </cacheHierarchy>
    <cacheHierarchy uniqueName="[Measures].[Total Units Sold]" caption="Total Units Sold" measure="1" displayFolder="" measureGroup="supply" count="0" oneField="1">
      <fieldsUsage count="1">
        <fieldUsage x="8"/>
      </fieldsUsage>
    </cacheHierarchy>
    <cacheHierarchy uniqueName="[Measures].[High Stock ]" caption="High Stock " measure="1" displayFolder="" measureGroup="supply" count="0"/>
    <cacheHierarchy uniqueName="[Measures].[__XL_Count supply]" caption="__XL_Count supply" measure="1" displayFolder="" measureGroup="supply" count="0" hidden="1"/>
    <cacheHierarchy uniqueName="[Measures].[__No measures defined]" caption="__No measures defined" measure="1" displayFolder="" count="0" hidden="1"/>
  </cacheHierarchies>
  <kpis count="0"/>
  <dimensions count="2">
    <dimension measure="1" name="Measures" uniqueName="[Measures]" caption="Measures"/>
    <dimension name="supply" uniqueName="[supply]" caption="supply"/>
  </dimensions>
  <measureGroups count="1">
    <measureGroup name="supply" caption="supply"/>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idharth jogi" refreshedDate="46186.690306828707" backgroundQuery="1" createdVersion="8" refreshedVersion="8" minRefreshableVersion="3" recordCount="0" supportSubquery="1" supportAdvancedDrill="1" xr:uid="{F067DF60-6176-42B1-B7B3-C29163DA8023}">
  <cacheSource type="external" connectionId="2"/>
  <cacheFields count="3">
    <cacheField name="[supply].[Supplier name].[Supplier name]" caption="Supplier name" numFmtId="0" hierarchy="15" level="1">
      <sharedItems count="5">
        <s v="Supplier 1"/>
        <s v="Supplier 2"/>
        <s v="Supplier 3"/>
        <s v="Supplier 4"/>
        <s v="Supplier 5"/>
      </sharedItems>
    </cacheField>
    <cacheField name="[Measures].[Avg Defect Cost]" caption="Avg Defect Cost" numFmtId="0" hierarchy="33" level="32767"/>
    <cacheField name="[supply].[Stocks Level].[Stocks Level]" caption="Stocks Level" numFmtId="0" hierarchy="9" level="1">
      <sharedItems containsSemiMixedTypes="0" containsNonDate="0" containsString="0"/>
    </cacheField>
  </cacheFields>
  <cacheHierarchies count="39">
    <cacheHierarchy uniqueName="[supply].[Product type]" caption="Product type" attribute="1" defaultMemberUniqueName="[supply].[Product type].[All]" allUniqueName="[supply].[Product type].[All]" dimensionUniqueName="[supply]" displayFolder="" count="0" memberValueDatatype="130" unbalanced="0"/>
    <cacheHierarchy uniqueName="[supply].[SKU]" caption="SKU" attribute="1" defaultMemberUniqueName="[supply].[SKU].[All]" allUniqueName="[supply].[SKU].[All]" dimensionUniqueName="[supply]" displayFolder="" count="0" memberValueDatatype="130" unbalanced="0"/>
    <cacheHierarchy uniqueName="[supply].[Price]" caption="Price" attribute="1" defaultMemberUniqueName="[supply].[Price].[All]" allUniqueName="[supply].[Price].[All]" dimensionUniqueName="[supply]" displayFolder="" count="0" memberValueDatatype="5" unbalanced="0"/>
    <cacheHierarchy uniqueName="[supply].[Availability]" caption="Availability" attribute="1" defaultMemberUniqueName="[supply].[Availability].[All]" allUniqueName="[supply].[Availability].[All]" dimensionUniqueName="[supply]" displayFolder="" count="0" memberValueDatatype="20" unbalanced="0"/>
    <cacheHierarchy uniqueName="[supply].[Availabi;ity Level]" caption="Availabi;ity Level" attribute="1" defaultMemberUniqueName="[supply].[Availabi;ity Level].[All]" allUniqueName="[supply].[Availabi;ity Level].[All]" dimensionUniqueName="[supply]" displayFolder="" count="0" memberValueDatatype="130" unbalanced="0"/>
    <cacheHierarchy uniqueName="[supply].[Number of products sold]" caption="Number of products sold" attribute="1" defaultMemberUniqueName="[supply].[Number of products sold].[All]" allUniqueName="[supply].[Number of products sold].[All]" dimensionUniqueName="[supply]" displayFolder="" count="0" memberValueDatatype="20" unbalanced="0"/>
    <cacheHierarchy uniqueName="[supply].[Revenue generated]" caption="Revenue generated" attribute="1" defaultMemberUniqueName="[supply].[Revenue generated].[All]" allUniqueName="[supply].[Revenue generated].[All]" dimensionUniqueName="[supply]" displayFolder="" count="0" memberValueDatatype="5" unbalanced="0"/>
    <cacheHierarchy uniqueName="[supply].[Customer demographics]" caption="Customer demographics" attribute="1" defaultMemberUniqueName="[supply].[Customer demographics].[All]" allUniqueName="[supply].[Customer demographics].[All]" dimensionUniqueName="[supply]" displayFolder="" count="0" memberValueDatatype="130" unbalanced="0"/>
    <cacheHierarchy uniqueName="[supply].[Stocks]" caption="Stocks" attribute="1" defaultMemberUniqueName="[supply].[Stocks].[All]" allUniqueName="[supply].[Stocks].[All]" dimensionUniqueName="[supply]" displayFolder="" count="0" memberValueDatatype="20" unbalanced="0"/>
    <cacheHierarchy uniqueName="[supply].[Stocks Level]" caption="Stocks Level" attribute="1" defaultMemberUniqueName="[supply].[Stocks Level].[All]" allUniqueName="[supply].[Stocks Level].[All]" dimensionUniqueName="[supply]" displayFolder="" count="2" memberValueDatatype="130" unbalanced="0">
      <fieldsUsage count="2">
        <fieldUsage x="-1"/>
        <fieldUsage x="2"/>
      </fieldsUsage>
    </cacheHierarchy>
    <cacheHierarchy uniqueName="[supply].[Lead times]" caption="Lead times" attribute="1" defaultMemberUniqueName="[supply].[Lead times].[All]" allUniqueName="[supply].[Lead times].[All]" dimensionUniqueName="[supply]" displayFolder="" count="0" memberValueDatatype="20" unbalanced="0"/>
    <cacheHierarchy uniqueName="[supply].[Order quantities]" caption="Order quantities" attribute="1" defaultMemberUniqueName="[supply].[Order quantities].[All]" allUniqueName="[supply].[Order quantities].[All]" dimensionUniqueName="[supply]" displayFolder="" count="0" memberValueDatatype="20" unbalanced="0"/>
    <cacheHierarchy uniqueName="[supply].[Shipping times]" caption="Shipping times" attribute="1" defaultMemberUniqueName="[supply].[Shipping times].[All]" allUniqueName="[supply].[Shipping times].[All]" dimensionUniqueName="[supply]" displayFolder="" count="0" memberValueDatatype="20" unbalanced="0"/>
    <cacheHierarchy uniqueName="[supply].[Shipping carriers]" caption="Shipping carriers" attribute="1" defaultMemberUniqueName="[supply].[Shipping carriers].[All]" allUniqueName="[supply].[Shipping carriers].[All]" dimensionUniqueName="[supply]" displayFolder="" count="0" memberValueDatatype="130" unbalanced="0"/>
    <cacheHierarchy uniqueName="[supply].[Shipping costs]" caption="Shipping costs" attribute="1" defaultMemberUniqueName="[supply].[Shipping costs].[All]" allUniqueName="[supply].[Shipping costs].[All]" dimensionUniqueName="[supply]" displayFolder="" count="0" memberValueDatatype="5" unbalanced="0"/>
    <cacheHierarchy uniqueName="[supply].[Supplier name]" caption="Supplier name" attribute="1" defaultMemberUniqueName="[supply].[Supplier name].[All]" allUniqueName="[supply].[Supplier name].[All]" dimensionUniqueName="[supply]" displayFolder="" count="2" memberValueDatatype="130" unbalanced="0">
      <fieldsUsage count="2">
        <fieldUsage x="-1"/>
        <fieldUsage x="0"/>
      </fieldsUsage>
    </cacheHierarchy>
    <cacheHierarchy uniqueName="[supply].[Location]" caption="Location" attribute="1" defaultMemberUniqueName="[supply].[Location].[All]" allUniqueName="[supply].[Location].[All]" dimensionUniqueName="[supply]" displayFolder="" count="2" memberValueDatatype="130" unbalanced="0"/>
    <cacheHierarchy uniqueName="[supply].[Lead time]" caption="Lead time" attribute="1" defaultMemberUniqueName="[supply].[Lead time].[All]" allUniqueName="[supply].[Lead time].[All]" dimensionUniqueName="[supply]" displayFolder="" count="0" memberValueDatatype="20" unbalanced="0"/>
    <cacheHierarchy uniqueName="[supply].[Production volumes]" caption="Production volumes" attribute="1" defaultMemberUniqueName="[supply].[Production volumes].[All]" allUniqueName="[supply].[Production volumes].[All]" dimensionUniqueName="[supply]" displayFolder="" count="0" memberValueDatatype="20" unbalanced="0"/>
    <cacheHierarchy uniqueName="[supply].[Manufacturing lead time]" caption="Manufacturing lead time" attribute="1" defaultMemberUniqueName="[supply].[Manufacturing lead time].[All]" allUniqueName="[supply].[Manufacturing lead time].[All]" dimensionUniqueName="[supply]" displayFolder="" count="0" memberValueDatatype="20" unbalanced="0"/>
    <cacheHierarchy uniqueName="[supply].[Manufacturing costs]" caption="Manufacturing costs" attribute="1" defaultMemberUniqueName="[supply].[Manufacturing costs].[All]" allUniqueName="[supply].[Manufacturing costs].[All]" dimensionUniqueName="[supply]" displayFolder="" count="0" memberValueDatatype="5" unbalanced="0"/>
    <cacheHierarchy uniqueName="[supply].[Inspection results]" caption="Inspection results" attribute="1" defaultMemberUniqueName="[supply].[Inspection results].[All]" allUniqueName="[supply].[Inspection results].[All]" dimensionUniqueName="[supply]" displayFolder="" count="0" memberValueDatatype="130" unbalanced="0"/>
    <cacheHierarchy uniqueName="[supply].[Defect rates]" caption="Defect rates" attribute="1" defaultMemberUniqueName="[supply].[Defect rates].[All]" allUniqueName="[supply].[Defect rates].[All]" dimensionUniqueName="[supply]" displayFolder="" count="0" memberValueDatatype="5" unbalanced="0"/>
    <cacheHierarchy uniqueName="[supply].[Transportation modes]" caption="Transportation modes" attribute="1" defaultMemberUniqueName="[supply].[Transportation modes].[All]" allUniqueName="[supply].[Transportation modes].[All]" dimensionUniqueName="[supply]" displayFolder="" count="2" memberValueDatatype="130" unbalanced="0"/>
    <cacheHierarchy uniqueName="[supply].[Routes]" caption="Routes" attribute="1" defaultMemberUniqueName="[supply].[Routes].[All]" allUniqueName="[supply].[Routes].[All]" dimensionUniqueName="[supply]" displayFolder="" count="0" memberValueDatatype="130" unbalanced="0"/>
    <cacheHierarchy uniqueName="[supply].[Costs]" caption="Costs" attribute="1" defaultMemberUniqueName="[supply].[Costs].[All]" allUniqueName="[supply].[Costs].[All]" dimensionUniqueName="[supply]" displayFolder="" count="0" memberValueDatatype="5" unbalanced="0"/>
    <cacheHierarchy uniqueName="[Measures].[Sum of Shipping costs]" caption="Sum of Shipping costs" measure="1" displayFolder="" measureGroup="supply" count="0">
      <extLst>
        <ext xmlns:x15="http://schemas.microsoft.com/office/spreadsheetml/2010/11/main" uri="{B97F6D7D-B522-45F9-BDA1-12C45D357490}">
          <x15:cacheHierarchy aggregatedColumn="14"/>
        </ext>
      </extLst>
    </cacheHierarchy>
    <cacheHierarchy uniqueName="[Measures].[Total Products]" caption="Total Products" measure="1" displayFolder="" measureGroup="supply" count="0"/>
    <cacheHierarchy uniqueName="[Measures].[Total Stock]" caption="Total Stock" measure="1" displayFolder="" measureGroup="supply" count="0"/>
    <cacheHierarchy uniqueName="[Measures].[Total Revenue ]" caption="Total Revenue " measure="1" displayFolder="" measureGroup="supply" count="0"/>
    <cacheHierarchy uniqueName="[Measures].[Avgerage Lead Time]" caption="Avgerage Lead Time" measure="1" displayFolder="" measureGroup="supply" count="0"/>
    <cacheHierarchy uniqueName="[Measures].[Avg Shipping Cost]" caption="Avg Shipping Cost" measure="1" displayFolder="" measureGroup="supply" count="0"/>
    <cacheHierarchy uniqueName="[Measures].[Low Stock Count]" caption="Low Stock Count" measure="1" displayFolder="" measureGroup="supply" count="0"/>
    <cacheHierarchy uniqueName="[Measures].[Avg Defect Cost]" caption="Avg Defect Cost" measure="1" displayFolder="" measureGroup="supply" count="0" oneField="1">
      <fieldsUsage count="1">
        <fieldUsage x="1"/>
      </fieldsUsage>
    </cacheHierarchy>
    <cacheHierarchy uniqueName="[Measures].[Total Manufacturing Cost]" caption="Total Manufacturing Cost" measure="1" displayFolder="" measureGroup="supply" count="0"/>
    <cacheHierarchy uniqueName="[Measures].[Total Units Sold]" caption="Total Units Sold" measure="1" displayFolder="" measureGroup="supply" count="0"/>
    <cacheHierarchy uniqueName="[Measures].[High Stock ]" caption="High Stock " measure="1" displayFolder="" measureGroup="supply" count="0"/>
    <cacheHierarchy uniqueName="[Measures].[__XL_Count supply]" caption="__XL_Count supply" measure="1" displayFolder="" measureGroup="supply" count="0" hidden="1"/>
    <cacheHierarchy uniqueName="[Measures].[__No measures defined]" caption="__No measures defined" measure="1" displayFolder="" count="0" hidden="1"/>
  </cacheHierarchies>
  <kpis count="0"/>
  <dimensions count="2">
    <dimension measure="1" name="Measures" uniqueName="[Measures]" caption="Measures"/>
    <dimension name="supply" uniqueName="[supply]" caption="supply"/>
  </dimensions>
  <measureGroups count="1">
    <measureGroup name="supply" caption="supply"/>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idharth jogi" refreshedDate="46186.690307175922" backgroundQuery="1" createdVersion="8" refreshedVersion="8" minRefreshableVersion="3" recordCount="0" supportSubquery="1" supportAdvancedDrill="1" xr:uid="{0141A18C-B44D-4F6F-B541-CA2176DA5EDA}">
  <cacheSource type="external" connectionId="2"/>
  <cacheFields count="3">
    <cacheField name="[supply].[Location].[Location]" caption="Location" numFmtId="0" hierarchy="16" level="1">
      <sharedItems count="5">
        <s v="Bangalore"/>
        <s v="Chennai"/>
        <s v="Delhi"/>
        <s v="Kolkata"/>
        <s v="Mumbai"/>
      </sharedItems>
    </cacheField>
    <cacheField name="[Measures].[Total Revenue ]" caption="Total Revenue " numFmtId="0" hierarchy="29" level="32767"/>
    <cacheField name="[supply].[Stocks Level].[Stocks Level]" caption="Stocks Level" numFmtId="0" hierarchy="9" level="1">
      <sharedItems containsSemiMixedTypes="0" containsNonDate="0" containsString="0"/>
    </cacheField>
  </cacheFields>
  <cacheHierarchies count="39">
    <cacheHierarchy uniqueName="[supply].[Product type]" caption="Product type" attribute="1" defaultMemberUniqueName="[supply].[Product type].[All]" allUniqueName="[supply].[Product type].[All]" dimensionUniqueName="[supply]" displayFolder="" count="0" memberValueDatatype="130" unbalanced="0"/>
    <cacheHierarchy uniqueName="[supply].[SKU]" caption="SKU" attribute="1" defaultMemberUniqueName="[supply].[SKU].[All]" allUniqueName="[supply].[SKU].[All]" dimensionUniqueName="[supply]" displayFolder="" count="0" memberValueDatatype="130" unbalanced="0"/>
    <cacheHierarchy uniqueName="[supply].[Price]" caption="Price" attribute="1" defaultMemberUniqueName="[supply].[Price].[All]" allUniqueName="[supply].[Price].[All]" dimensionUniqueName="[supply]" displayFolder="" count="0" memberValueDatatype="5" unbalanced="0"/>
    <cacheHierarchy uniqueName="[supply].[Availability]" caption="Availability" attribute="1" defaultMemberUniqueName="[supply].[Availability].[All]" allUniqueName="[supply].[Availability].[All]" dimensionUniqueName="[supply]" displayFolder="" count="0" memberValueDatatype="20" unbalanced="0"/>
    <cacheHierarchy uniqueName="[supply].[Availabi;ity Level]" caption="Availabi;ity Level" attribute="1" defaultMemberUniqueName="[supply].[Availabi;ity Level].[All]" allUniqueName="[supply].[Availabi;ity Level].[All]" dimensionUniqueName="[supply]" displayFolder="" count="0" memberValueDatatype="130" unbalanced="0"/>
    <cacheHierarchy uniqueName="[supply].[Number of products sold]" caption="Number of products sold" attribute="1" defaultMemberUniqueName="[supply].[Number of products sold].[All]" allUniqueName="[supply].[Number of products sold].[All]" dimensionUniqueName="[supply]" displayFolder="" count="0" memberValueDatatype="20" unbalanced="0"/>
    <cacheHierarchy uniqueName="[supply].[Revenue generated]" caption="Revenue generated" attribute="1" defaultMemberUniqueName="[supply].[Revenue generated].[All]" allUniqueName="[supply].[Revenue generated].[All]" dimensionUniqueName="[supply]" displayFolder="" count="0" memberValueDatatype="5" unbalanced="0"/>
    <cacheHierarchy uniqueName="[supply].[Customer demographics]" caption="Customer demographics" attribute="1" defaultMemberUniqueName="[supply].[Customer demographics].[All]" allUniqueName="[supply].[Customer demographics].[All]" dimensionUniqueName="[supply]" displayFolder="" count="0" memberValueDatatype="130" unbalanced="0"/>
    <cacheHierarchy uniqueName="[supply].[Stocks]" caption="Stocks" attribute="1" defaultMemberUniqueName="[supply].[Stocks].[All]" allUniqueName="[supply].[Stocks].[All]" dimensionUniqueName="[supply]" displayFolder="" count="0" memberValueDatatype="20" unbalanced="0"/>
    <cacheHierarchy uniqueName="[supply].[Stocks Level]" caption="Stocks Level" attribute="1" defaultMemberUniqueName="[supply].[Stocks Level].[All]" allUniqueName="[supply].[Stocks Level].[All]" dimensionUniqueName="[supply]" displayFolder="" count="2" memberValueDatatype="130" unbalanced="0">
      <fieldsUsage count="2">
        <fieldUsage x="-1"/>
        <fieldUsage x="2"/>
      </fieldsUsage>
    </cacheHierarchy>
    <cacheHierarchy uniqueName="[supply].[Lead times]" caption="Lead times" attribute="1" defaultMemberUniqueName="[supply].[Lead times].[All]" allUniqueName="[supply].[Lead times].[All]" dimensionUniqueName="[supply]" displayFolder="" count="0" memberValueDatatype="20" unbalanced="0"/>
    <cacheHierarchy uniqueName="[supply].[Order quantities]" caption="Order quantities" attribute="1" defaultMemberUniqueName="[supply].[Order quantities].[All]" allUniqueName="[supply].[Order quantities].[All]" dimensionUniqueName="[supply]" displayFolder="" count="0" memberValueDatatype="20" unbalanced="0"/>
    <cacheHierarchy uniqueName="[supply].[Shipping times]" caption="Shipping times" attribute="1" defaultMemberUniqueName="[supply].[Shipping times].[All]" allUniqueName="[supply].[Shipping times].[All]" dimensionUniqueName="[supply]" displayFolder="" count="0" memberValueDatatype="20" unbalanced="0"/>
    <cacheHierarchy uniqueName="[supply].[Shipping carriers]" caption="Shipping carriers" attribute="1" defaultMemberUniqueName="[supply].[Shipping carriers].[All]" allUniqueName="[supply].[Shipping carriers].[All]" dimensionUniqueName="[supply]" displayFolder="" count="0" memberValueDatatype="130" unbalanced="0"/>
    <cacheHierarchy uniqueName="[supply].[Shipping costs]" caption="Shipping costs" attribute="1" defaultMemberUniqueName="[supply].[Shipping costs].[All]" allUniqueName="[supply].[Shipping costs].[All]" dimensionUniqueName="[supply]" displayFolder="" count="0" memberValueDatatype="5" unbalanced="0"/>
    <cacheHierarchy uniqueName="[supply].[Supplier name]" caption="Supplier name" attribute="1" defaultMemberUniqueName="[supply].[Supplier name].[All]" allUniqueName="[supply].[Supplier name].[All]" dimensionUniqueName="[supply]" displayFolder="" count="0" memberValueDatatype="130" unbalanced="0"/>
    <cacheHierarchy uniqueName="[supply].[Location]" caption="Location" attribute="1" defaultMemberUniqueName="[supply].[Location].[All]" allUniqueName="[supply].[Location].[All]" dimensionUniqueName="[supply]" displayFolder="" count="2" memberValueDatatype="130" unbalanced="0">
      <fieldsUsage count="2">
        <fieldUsage x="-1"/>
        <fieldUsage x="0"/>
      </fieldsUsage>
    </cacheHierarchy>
    <cacheHierarchy uniqueName="[supply].[Lead time]" caption="Lead time" attribute="1" defaultMemberUniqueName="[supply].[Lead time].[All]" allUniqueName="[supply].[Lead time].[All]" dimensionUniqueName="[supply]" displayFolder="" count="0" memberValueDatatype="20" unbalanced="0"/>
    <cacheHierarchy uniqueName="[supply].[Production volumes]" caption="Production volumes" attribute="1" defaultMemberUniqueName="[supply].[Production volumes].[All]" allUniqueName="[supply].[Production volumes].[All]" dimensionUniqueName="[supply]" displayFolder="" count="0" memberValueDatatype="20" unbalanced="0"/>
    <cacheHierarchy uniqueName="[supply].[Manufacturing lead time]" caption="Manufacturing lead time" attribute="1" defaultMemberUniqueName="[supply].[Manufacturing lead time].[All]" allUniqueName="[supply].[Manufacturing lead time].[All]" dimensionUniqueName="[supply]" displayFolder="" count="0" memberValueDatatype="20" unbalanced="0"/>
    <cacheHierarchy uniqueName="[supply].[Manufacturing costs]" caption="Manufacturing costs" attribute="1" defaultMemberUniqueName="[supply].[Manufacturing costs].[All]" allUniqueName="[supply].[Manufacturing costs].[All]" dimensionUniqueName="[supply]" displayFolder="" count="0" memberValueDatatype="5" unbalanced="0"/>
    <cacheHierarchy uniqueName="[supply].[Inspection results]" caption="Inspection results" attribute="1" defaultMemberUniqueName="[supply].[Inspection results].[All]" allUniqueName="[supply].[Inspection results].[All]" dimensionUniqueName="[supply]" displayFolder="" count="0" memberValueDatatype="130" unbalanced="0"/>
    <cacheHierarchy uniqueName="[supply].[Defect rates]" caption="Defect rates" attribute="1" defaultMemberUniqueName="[supply].[Defect rates].[All]" allUniqueName="[supply].[Defect rates].[All]" dimensionUniqueName="[supply]" displayFolder="" count="0" memberValueDatatype="5" unbalanced="0"/>
    <cacheHierarchy uniqueName="[supply].[Transportation modes]" caption="Transportation modes" attribute="1" defaultMemberUniqueName="[supply].[Transportation modes].[All]" allUniqueName="[supply].[Transportation modes].[All]" dimensionUniqueName="[supply]" displayFolder="" count="2" memberValueDatatype="130" unbalanced="0"/>
    <cacheHierarchy uniqueName="[supply].[Routes]" caption="Routes" attribute="1" defaultMemberUniqueName="[supply].[Routes].[All]" allUniqueName="[supply].[Routes].[All]" dimensionUniqueName="[supply]" displayFolder="" count="0" memberValueDatatype="130" unbalanced="0"/>
    <cacheHierarchy uniqueName="[supply].[Costs]" caption="Costs" attribute="1" defaultMemberUniqueName="[supply].[Costs].[All]" allUniqueName="[supply].[Costs].[All]" dimensionUniqueName="[supply]" displayFolder="" count="0" memberValueDatatype="5" unbalanced="0"/>
    <cacheHierarchy uniqueName="[Measures].[Sum of Shipping costs]" caption="Sum of Shipping costs" measure="1" displayFolder="" measureGroup="supply" count="0">
      <extLst>
        <ext xmlns:x15="http://schemas.microsoft.com/office/spreadsheetml/2010/11/main" uri="{B97F6D7D-B522-45F9-BDA1-12C45D357490}">
          <x15:cacheHierarchy aggregatedColumn="14"/>
        </ext>
      </extLst>
    </cacheHierarchy>
    <cacheHierarchy uniqueName="[Measures].[Total Products]" caption="Total Products" measure="1" displayFolder="" measureGroup="supply" count="0"/>
    <cacheHierarchy uniqueName="[Measures].[Total Stock]" caption="Total Stock" measure="1" displayFolder="" measureGroup="supply" count="0"/>
    <cacheHierarchy uniqueName="[Measures].[Total Revenue ]" caption="Total Revenue " measure="1" displayFolder="" measureGroup="supply" count="0" oneField="1">
      <fieldsUsage count="1">
        <fieldUsage x="1"/>
      </fieldsUsage>
    </cacheHierarchy>
    <cacheHierarchy uniqueName="[Measures].[Avgerage Lead Time]" caption="Avgerage Lead Time" measure="1" displayFolder="" measureGroup="supply" count="0"/>
    <cacheHierarchy uniqueName="[Measures].[Avg Shipping Cost]" caption="Avg Shipping Cost" measure="1" displayFolder="" measureGroup="supply" count="0"/>
    <cacheHierarchy uniqueName="[Measures].[Low Stock Count]" caption="Low Stock Count" measure="1" displayFolder="" measureGroup="supply" count="0"/>
    <cacheHierarchy uniqueName="[Measures].[Avg Defect Cost]" caption="Avg Defect Cost" measure="1" displayFolder="" measureGroup="supply" count="0"/>
    <cacheHierarchy uniqueName="[Measures].[Total Manufacturing Cost]" caption="Total Manufacturing Cost" measure="1" displayFolder="" measureGroup="supply" count="0"/>
    <cacheHierarchy uniqueName="[Measures].[Total Units Sold]" caption="Total Units Sold" measure="1" displayFolder="" measureGroup="supply" count="0"/>
    <cacheHierarchy uniqueName="[Measures].[High Stock ]" caption="High Stock " measure="1" displayFolder="" measureGroup="supply" count="0"/>
    <cacheHierarchy uniqueName="[Measures].[__XL_Count supply]" caption="__XL_Count supply" measure="1" displayFolder="" measureGroup="supply" count="0" hidden="1"/>
    <cacheHierarchy uniqueName="[Measures].[__No measures defined]" caption="__No measures defined" measure="1" displayFolder="" count="0" hidden="1"/>
  </cacheHierarchies>
  <kpis count="0"/>
  <dimensions count="2">
    <dimension measure="1" name="Measures" uniqueName="[Measures]" caption="Measures"/>
    <dimension name="supply" uniqueName="[supply]" caption="supply"/>
  </dimensions>
  <measureGroups count="1">
    <measureGroup name="supply" caption="supply"/>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idharth jogi" refreshedDate="46186.69030775463" backgroundQuery="1" createdVersion="8" refreshedVersion="8" minRefreshableVersion="3" recordCount="0" supportSubquery="1" supportAdvancedDrill="1" xr:uid="{34ED0D7F-2D62-4FB4-8A0A-6E3593575F08}">
  <cacheSource type="external" connectionId="2"/>
  <cacheFields count="3">
    <cacheField name="[supply].[SKU].[SKU]" caption="SKU" numFmtId="0" hierarchy="1" level="1">
      <sharedItems count="10">
        <s v="SKU10"/>
        <s v="SKU11"/>
        <s v="SKU36"/>
        <s v="SKU37"/>
        <s v="SKU40"/>
        <s v="SKU44"/>
        <s v="SKU78"/>
        <s v="SKU9"/>
        <s v="SKU91"/>
        <s v="SKU94"/>
      </sharedItems>
    </cacheField>
    <cacheField name="[Measures].[Total Revenue ]" caption="Total Revenue " numFmtId="0" hierarchy="29" level="32767"/>
    <cacheField name="[supply].[Stocks Level].[Stocks Level]" caption="Stocks Level" numFmtId="0" hierarchy="9" level="1">
      <sharedItems containsSemiMixedTypes="0" containsNonDate="0" containsString="0"/>
    </cacheField>
  </cacheFields>
  <cacheHierarchies count="39">
    <cacheHierarchy uniqueName="[supply].[Product type]" caption="Product type" attribute="1" defaultMemberUniqueName="[supply].[Product type].[All]" allUniqueName="[supply].[Product type].[All]" dimensionUniqueName="[supply]" displayFolder="" count="0" memberValueDatatype="130" unbalanced="0"/>
    <cacheHierarchy uniqueName="[supply].[SKU]" caption="SKU" attribute="1" defaultMemberUniqueName="[supply].[SKU].[All]" allUniqueName="[supply].[SKU].[All]" dimensionUniqueName="[supply]" displayFolder="" count="2" memberValueDatatype="130" unbalanced="0">
      <fieldsUsage count="2">
        <fieldUsage x="-1"/>
        <fieldUsage x="0"/>
      </fieldsUsage>
    </cacheHierarchy>
    <cacheHierarchy uniqueName="[supply].[Price]" caption="Price" attribute="1" defaultMemberUniqueName="[supply].[Price].[All]" allUniqueName="[supply].[Price].[All]" dimensionUniqueName="[supply]" displayFolder="" count="0" memberValueDatatype="5" unbalanced="0"/>
    <cacheHierarchy uniqueName="[supply].[Availability]" caption="Availability" attribute="1" defaultMemberUniqueName="[supply].[Availability].[All]" allUniqueName="[supply].[Availability].[All]" dimensionUniqueName="[supply]" displayFolder="" count="0" memberValueDatatype="20" unbalanced="0"/>
    <cacheHierarchy uniqueName="[supply].[Availabi;ity Level]" caption="Availabi;ity Level" attribute="1" defaultMemberUniqueName="[supply].[Availabi;ity Level].[All]" allUniqueName="[supply].[Availabi;ity Level].[All]" dimensionUniqueName="[supply]" displayFolder="" count="0" memberValueDatatype="130" unbalanced="0"/>
    <cacheHierarchy uniqueName="[supply].[Number of products sold]" caption="Number of products sold" attribute="1" defaultMemberUniqueName="[supply].[Number of products sold].[All]" allUniqueName="[supply].[Number of products sold].[All]" dimensionUniqueName="[supply]" displayFolder="" count="0" memberValueDatatype="20" unbalanced="0"/>
    <cacheHierarchy uniqueName="[supply].[Revenue generated]" caption="Revenue generated" attribute="1" defaultMemberUniqueName="[supply].[Revenue generated].[All]" allUniqueName="[supply].[Revenue generated].[All]" dimensionUniqueName="[supply]" displayFolder="" count="0" memberValueDatatype="5" unbalanced="0"/>
    <cacheHierarchy uniqueName="[supply].[Customer demographics]" caption="Customer demographics" attribute="1" defaultMemberUniqueName="[supply].[Customer demographics].[All]" allUniqueName="[supply].[Customer demographics].[All]" dimensionUniqueName="[supply]" displayFolder="" count="0" memberValueDatatype="130" unbalanced="0"/>
    <cacheHierarchy uniqueName="[supply].[Stocks]" caption="Stocks" attribute="1" defaultMemberUniqueName="[supply].[Stocks].[All]" allUniqueName="[supply].[Stocks].[All]" dimensionUniqueName="[supply]" displayFolder="" count="0" memberValueDatatype="20" unbalanced="0"/>
    <cacheHierarchy uniqueName="[supply].[Stocks Level]" caption="Stocks Level" attribute="1" defaultMemberUniqueName="[supply].[Stocks Level].[All]" allUniqueName="[supply].[Stocks Level].[All]" dimensionUniqueName="[supply]" displayFolder="" count="2" memberValueDatatype="130" unbalanced="0">
      <fieldsUsage count="2">
        <fieldUsage x="-1"/>
        <fieldUsage x="2"/>
      </fieldsUsage>
    </cacheHierarchy>
    <cacheHierarchy uniqueName="[supply].[Lead times]" caption="Lead times" attribute="1" defaultMemberUniqueName="[supply].[Lead times].[All]" allUniqueName="[supply].[Lead times].[All]" dimensionUniqueName="[supply]" displayFolder="" count="0" memberValueDatatype="20" unbalanced="0"/>
    <cacheHierarchy uniqueName="[supply].[Order quantities]" caption="Order quantities" attribute="1" defaultMemberUniqueName="[supply].[Order quantities].[All]" allUniqueName="[supply].[Order quantities].[All]" dimensionUniqueName="[supply]" displayFolder="" count="0" memberValueDatatype="20" unbalanced="0"/>
    <cacheHierarchy uniqueName="[supply].[Shipping times]" caption="Shipping times" attribute="1" defaultMemberUniqueName="[supply].[Shipping times].[All]" allUniqueName="[supply].[Shipping times].[All]" dimensionUniqueName="[supply]" displayFolder="" count="0" memberValueDatatype="20" unbalanced="0"/>
    <cacheHierarchy uniqueName="[supply].[Shipping carriers]" caption="Shipping carriers" attribute="1" defaultMemberUniqueName="[supply].[Shipping carriers].[All]" allUniqueName="[supply].[Shipping carriers].[All]" dimensionUniqueName="[supply]" displayFolder="" count="0" memberValueDatatype="130" unbalanced="0"/>
    <cacheHierarchy uniqueName="[supply].[Shipping costs]" caption="Shipping costs" attribute="1" defaultMemberUniqueName="[supply].[Shipping costs].[All]" allUniqueName="[supply].[Shipping costs].[All]" dimensionUniqueName="[supply]" displayFolder="" count="0" memberValueDatatype="5" unbalanced="0"/>
    <cacheHierarchy uniqueName="[supply].[Supplier name]" caption="Supplier name" attribute="1" defaultMemberUniqueName="[supply].[Supplier name].[All]" allUniqueName="[supply].[Supplier name].[All]" dimensionUniqueName="[supply]" displayFolder="" count="0" memberValueDatatype="130" unbalanced="0"/>
    <cacheHierarchy uniqueName="[supply].[Location]" caption="Location" attribute="1" defaultMemberUniqueName="[supply].[Location].[All]" allUniqueName="[supply].[Location].[All]" dimensionUniqueName="[supply]" displayFolder="" count="2" memberValueDatatype="130" unbalanced="0"/>
    <cacheHierarchy uniqueName="[supply].[Lead time]" caption="Lead time" attribute="1" defaultMemberUniqueName="[supply].[Lead time].[All]" allUniqueName="[supply].[Lead time].[All]" dimensionUniqueName="[supply]" displayFolder="" count="0" memberValueDatatype="20" unbalanced="0"/>
    <cacheHierarchy uniqueName="[supply].[Production volumes]" caption="Production volumes" attribute="1" defaultMemberUniqueName="[supply].[Production volumes].[All]" allUniqueName="[supply].[Production volumes].[All]" dimensionUniqueName="[supply]" displayFolder="" count="0" memberValueDatatype="20" unbalanced="0"/>
    <cacheHierarchy uniqueName="[supply].[Manufacturing lead time]" caption="Manufacturing lead time" attribute="1" defaultMemberUniqueName="[supply].[Manufacturing lead time].[All]" allUniqueName="[supply].[Manufacturing lead time].[All]" dimensionUniqueName="[supply]" displayFolder="" count="0" memberValueDatatype="20" unbalanced="0"/>
    <cacheHierarchy uniqueName="[supply].[Manufacturing costs]" caption="Manufacturing costs" attribute="1" defaultMemberUniqueName="[supply].[Manufacturing costs].[All]" allUniqueName="[supply].[Manufacturing costs].[All]" dimensionUniqueName="[supply]" displayFolder="" count="0" memberValueDatatype="5" unbalanced="0"/>
    <cacheHierarchy uniqueName="[supply].[Inspection results]" caption="Inspection results" attribute="1" defaultMemberUniqueName="[supply].[Inspection results].[All]" allUniqueName="[supply].[Inspection results].[All]" dimensionUniqueName="[supply]" displayFolder="" count="0" memberValueDatatype="130" unbalanced="0"/>
    <cacheHierarchy uniqueName="[supply].[Defect rates]" caption="Defect rates" attribute="1" defaultMemberUniqueName="[supply].[Defect rates].[All]" allUniqueName="[supply].[Defect rates].[All]" dimensionUniqueName="[supply]" displayFolder="" count="0" memberValueDatatype="5" unbalanced="0"/>
    <cacheHierarchy uniqueName="[supply].[Transportation modes]" caption="Transportation modes" attribute="1" defaultMemberUniqueName="[supply].[Transportation modes].[All]" allUniqueName="[supply].[Transportation modes].[All]" dimensionUniqueName="[supply]" displayFolder="" count="2" memberValueDatatype="130" unbalanced="0"/>
    <cacheHierarchy uniqueName="[supply].[Routes]" caption="Routes" attribute="1" defaultMemberUniqueName="[supply].[Routes].[All]" allUniqueName="[supply].[Routes].[All]" dimensionUniqueName="[supply]" displayFolder="" count="0" memberValueDatatype="130" unbalanced="0"/>
    <cacheHierarchy uniqueName="[supply].[Costs]" caption="Costs" attribute="1" defaultMemberUniqueName="[supply].[Costs].[All]" allUniqueName="[supply].[Costs].[All]" dimensionUniqueName="[supply]" displayFolder="" count="0" memberValueDatatype="5" unbalanced="0"/>
    <cacheHierarchy uniqueName="[Measures].[Sum of Shipping costs]" caption="Sum of Shipping costs" measure="1" displayFolder="" measureGroup="supply" count="0">
      <extLst>
        <ext xmlns:x15="http://schemas.microsoft.com/office/spreadsheetml/2010/11/main" uri="{B97F6D7D-B522-45F9-BDA1-12C45D357490}">
          <x15:cacheHierarchy aggregatedColumn="14"/>
        </ext>
      </extLst>
    </cacheHierarchy>
    <cacheHierarchy uniqueName="[Measures].[Total Products]" caption="Total Products" measure="1" displayFolder="" measureGroup="supply" count="0"/>
    <cacheHierarchy uniqueName="[Measures].[Total Stock]" caption="Total Stock" measure="1" displayFolder="" measureGroup="supply" count="0"/>
    <cacheHierarchy uniqueName="[Measures].[Total Revenue ]" caption="Total Revenue " measure="1" displayFolder="" measureGroup="supply" count="0" oneField="1">
      <fieldsUsage count="1">
        <fieldUsage x="1"/>
      </fieldsUsage>
    </cacheHierarchy>
    <cacheHierarchy uniqueName="[Measures].[Avgerage Lead Time]" caption="Avgerage Lead Time" measure="1" displayFolder="" measureGroup="supply" count="0"/>
    <cacheHierarchy uniqueName="[Measures].[Avg Shipping Cost]" caption="Avg Shipping Cost" measure="1" displayFolder="" measureGroup="supply" count="0"/>
    <cacheHierarchy uniqueName="[Measures].[Low Stock Count]" caption="Low Stock Count" measure="1" displayFolder="" measureGroup="supply" count="0"/>
    <cacheHierarchy uniqueName="[Measures].[Avg Defect Cost]" caption="Avg Defect Cost" measure="1" displayFolder="" measureGroup="supply" count="0"/>
    <cacheHierarchy uniqueName="[Measures].[Total Manufacturing Cost]" caption="Total Manufacturing Cost" measure="1" displayFolder="" measureGroup="supply" count="0"/>
    <cacheHierarchy uniqueName="[Measures].[Total Units Sold]" caption="Total Units Sold" measure="1" displayFolder="" measureGroup="supply" count="0"/>
    <cacheHierarchy uniqueName="[Measures].[High Stock ]" caption="High Stock " measure="1" displayFolder="" measureGroup="supply" count="0"/>
    <cacheHierarchy uniqueName="[Measures].[__XL_Count supply]" caption="__XL_Count supply" measure="1" displayFolder="" measureGroup="supply" count="0" hidden="1"/>
    <cacheHierarchy uniqueName="[Measures].[__No measures defined]" caption="__No measures defined" measure="1" displayFolder="" count="0" hidden="1"/>
  </cacheHierarchies>
  <kpis count="0"/>
  <dimensions count="2">
    <dimension measure="1" name="Measures" uniqueName="[Measures]" caption="Measures"/>
    <dimension name="supply" uniqueName="[supply]" caption="supply"/>
  </dimensions>
  <measureGroups count="1">
    <measureGroup name="supply" caption="supply"/>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idharth jogi" refreshedDate="46186.690308101854" backgroundQuery="1" createdVersion="8" refreshedVersion="8" minRefreshableVersion="3" recordCount="0" supportSubquery="1" supportAdvancedDrill="1" xr:uid="{D264D97B-F497-4D4B-93C3-2C2079D75E6D}">
  <cacheSource type="external" connectionId="2"/>
  <cacheFields count="3">
    <cacheField name="[supply].[Product type].[Product type]" caption="Product type" numFmtId="0" level="1">
      <sharedItems count="3">
        <s v="cosmetics"/>
        <s v="haircare"/>
        <s v="skincare"/>
      </sharedItems>
    </cacheField>
    <cacheField name="[Measures].[Total Revenue ]" caption="Total Revenue " numFmtId="0" hierarchy="29" level="32767"/>
    <cacheField name="[supply].[Stocks Level].[Stocks Level]" caption="Stocks Level" numFmtId="0" hierarchy="9" level="1">
      <sharedItems containsSemiMixedTypes="0" containsNonDate="0" containsString="0"/>
    </cacheField>
  </cacheFields>
  <cacheHierarchies count="39">
    <cacheHierarchy uniqueName="[supply].[Product type]" caption="Product type" attribute="1" defaultMemberUniqueName="[supply].[Product type].[All]" allUniqueName="[supply].[Product type].[All]" dimensionUniqueName="[supply]" displayFolder="" count="2" memberValueDatatype="130" unbalanced="0">
      <fieldsUsage count="2">
        <fieldUsage x="-1"/>
        <fieldUsage x="0"/>
      </fieldsUsage>
    </cacheHierarchy>
    <cacheHierarchy uniqueName="[supply].[SKU]" caption="SKU" attribute="1" defaultMemberUniqueName="[supply].[SKU].[All]" allUniqueName="[supply].[SKU].[All]" dimensionUniqueName="[supply]" displayFolder="" count="0" memberValueDatatype="130" unbalanced="0"/>
    <cacheHierarchy uniqueName="[supply].[Price]" caption="Price" attribute="1" defaultMemberUniqueName="[supply].[Price].[All]" allUniqueName="[supply].[Price].[All]" dimensionUniqueName="[supply]" displayFolder="" count="0" memberValueDatatype="5" unbalanced="0"/>
    <cacheHierarchy uniqueName="[supply].[Availability]" caption="Availability" attribute="1" defaultMemberUniqueName="[supply].[Availability].[All]" allUniqueName="[supply].[Availability].[All]" dimensionUniqueName="[supply]" displayFolder="" count="0" memberValueDatatype="20" unbalanced="0"/>
    <cacheHierarchy uniqueName="[supply].[Availabi;ity Level]" caption="Availabi;ity Level" attribute="1" defaultMemberUniqueName="[supply].[Availabi;ity Level].[All]" allUniqueName="[supply].[Availabi;ity Level].[All]" dimensionUniqueName="[supply]" displayFolder="" count="0" memberValueDatatype="130" unbalanced="0"/>
    <cacheHierarchy uniqueName="[supply].[Number of products sold]" caption="Number of products sold" attribute="1" defaultMemberUniqueName="[supply].[Number of products sold].[All]" allUniqueName="[supply].[Number of products sold].[All]" dimensionUniqueName="[supply]" displayFolder="" count="0" memberValueDatatype="20" unbalanced="0"/>
    <cacheHierarchy uniqueName="[supply].[Revenue generated]" caption="Revenue generated" attribute="1" defaultMemberUniqueName="[supply].[Revenue generated].[All]" allUniqueName="[supply].[Revenue generated].[All]" dimensionUniqueName="[supply]" displayFolder="" count="0" memberValueDatatype="5" unbalanced="0"/>
    <cacheHierarchy uniqueName="[supply].[Customer demographics]" caption="Customer demographics" attribute="1" defaultMemberUniqueName="[supply].[Customer demographics].[All]" allUniqueName="[supply].[Customer demographics].[All]" dimensionUniqueName="[supply]" displayFolder="" count="0" memberValueDatatype="130" unbalanced="0"/>
    <cacheHierarchy uniqueName="[supply].[Stocks]" caption="Stocks" attribute="1" defaultMemberUniqueName="[supply].[Stocks].[All]" allUniqueName="[supply].[Stocks].[All]" dimensionUniqueName="[supply]" displayFolder="" count="0" memberValueDatatype="20" unbalanced="0"/>
    <cacheHierarchy uniqueName="[supply].[Stocks Level]" caption="Stocks Level" attribute="1" defaultMemberUniqueName="[supply].[Stocks Level].[All]" allUniqueName="[supply].[Stocks Level].[All]" dimensionUniqueName="[supply]" displayFolder="" count="2" memberValueDatatype="130" unbalanced="0">
      <fieldsUsage count="2">
        <fieldUsage x="-1"/>
        <fieldUsage x="2"/>
      </fieldsUsage>
    </cacheHierarchy>
    <cacheHierarchy uniqueName="[supply].[Lead times]" caption="Lead times" attribute="1" defaultMemberUniqueName="[supply].[Lead times].[All]" allUniqueName="[supply].[Lead times].[All]" dimensionUniqueName="[supply]" displayFolder="" count="0" memberValueDatatype="20" unbalanced="0"/>
    <cacheHierarchy uniqueName="[supply].[Order quantities]" caption="Order quantities" attribute="1" defaultMemberUniqueName="[supply].[Order quantities].[All]" allUniqueName="[supply].[Order quantities].[All]" dimensionUniqueName="[supply]" displayFolder="" count="0" memberValueDatatype="20" unbalanced="0"/>
    <cacheHierarchy uniqueName="[supply].[Shipping times]" caption="Shipping times" attribute="1" defaultMemberUniqueName="[supply].[Shipping times].[All]" allUniqueName="[supply].[Shipping times].[All]" dimensionUniqueName="[supply]" displayFolder="" count="0" memberValueDatatype="20" unbalanced="0"/>
    <cacheHierarchy uniqueName="[supply].[Shipping carriers]" caption="Shipping carriers" attribute="1" defaultMemberUniqueName="[supply].[Shipping carriers].[All]" allUniqueName="[supply].[Shipping carriers].[All]" dimensionUniqueName="[supply]" displayFolder="" count="0" memberValueDatatype="130" unbalanced="0"/>
    <cacheHierarchy uniqueName="[supply].[Shipping costs]" caption="Shipping costs" attribute="1" defaultMemberUniqueName="[supply].[Shipping costs].[All]" allUniqueName="[supply].[Shipping costs].[All]" dimensionUniqueName="[supply]" displayFolder="" count="0" memberValueDatatype="5" unbalanced="0"/>
    <cacheHierarchy uniqueName="[supply].[Supplier name]" caption="Supplier name" attribute="1" defaultMemberUniqueName="[supply].[Supplier name].[All]" allUniqueName="[supply].[Supplier name].[All]" dimensionUniqueName="[supply]" displayFolder="" count="0" memberValueDatatype="130" unbalanced="0"/>
    <cacheHierarchy uniqueName="[supply].[Location]" caption="Location" attribute="1" defaultMemberUniqueName="[supply].[Location].[All]" allUniqueName="[supply].[Location].[All]" dimensionUniqueName="[supply]" displayFolder="" count="2" memberValueDatatype="130" unbalanced="0"/>
    <cacheHierarchy uniqueName="[supply].[Lead time]" caption="Lead time" attribute="1" defaultMemberUniqueName="[supply].[Lead time].[All]" allUniqueName="[supply].[Lead time].[All]" dimensionUniqueName="[supply]" displayFolder="" count="0" memberValueDatatype="20" unbalanced="0"/>
    <cacheHierarchy uniqueName="[supply].[Production volumes]" caption="Production volumes" attribute="1" defaultMemberUniqueName="[supply].[Production volumes].[All]" allUniqueName="[supply].[Production volumes].[All]" dimensionUniqueName="[supply]" displayFolder="" count="0" memberValueDatatype="20" unbalanced="0"/>
    <cacheHierarchy uniqueName="[supply].[Manufacturing lead time]" caption="Manufacturing lead time" attribute="1" defaultMemberUniqueName="[supply].[Manufacturing lead time].[All]" allUniqueName="[supply].[Manufacturing lead time].[All]" dimensionUniqueName="[supply]" displayFolder="" count="0" memberValueDatatype="20" unbalanced="0"/>
    <cacheHierarchy uniqueName="[supply].[Manufacturing costs]" caption="Manufacturing costs" attribute="1" defaultMemberUniqueName="[supply].[Manufacturing costs].[All]" allUniqueName="[supply].[Manufacturing costs].[All]" dimensionUniqueName="[supply]" displayFolder="" count="0" memberValueDatatype="5" unbalanced="0"/>
    <cacheHierarchy uniqueName="[supply].[Inspection results]" caption="Inspection results" attribute="1" defaultMemberUniqueName="[supply].[Inspection results].[All]" allUniqueName="[supply].[Inspection results].[All]" dimensionUniqueName="[supply]" displayFolder="" count="0" memberValueDatatype="130" unbalanced="0"/>
    <cacheHierarchy uniqueName="[supply].[Defect rates]" caption="Defect rates" attribute="1" defaultMemberUniqueName="[supply].[Defect rates].[All]" allUniqueName="[supply].[Defect rates].[All]" dimensionUniqueName="[supply]" displayFolder="" count="0" memberValueDatatype="5" unbalanced="0"/>
    <cacheHierarchy uniqueName="[supply].[Transportation modes]" caption="Transportation modes" attribute="1" defaultMemberUniqueName="[supply].[Transportation modes].[All]" allUniqueName="[supply].[Transportation modes].[All]" dimensionUniqueName="[supply]" displayFolder="" count="2" memberValueDatatype="130" unbalanced="0"/>
    <cacheHierarchy uniqueName="[supply].[Routes]" caption="Routes" attribute="1" defaultMemberUniqueName="[supply].[Routes].[All]" allUniqueName="[supply].[Routes].[All]" dimensionUniqueName="[supply]" displayFolder="" count="0" memberValueDatatype="130" unbalanced="0"/>
    <cacheHierarchy uniqueName="[supply].[Costs]" caption="Costs" attribute="1" defaultMemberUniqueName="[supply].[Costs].[All]" allUniqueName="[supply].[Costs].[All]" dimensionUniqueName="[supply]" displayFolder="" count="0" memberValueDatatype="5" unbalanced="0"/>
    <cacheHierarchy uniqueName="[Measures].[Sum of Shipping costs]" caption="Sum of Shipping costs" measure="1" displayFolder="" measureGroup="supply" count="0">
      <extLst>
        <ext xmlns:x15="http://schemas.microsoft.com/office/spreadsheetml/2010/11/main" uri="{B97F6D7D-B522-45F9-BDA1-12C45D357490}">
          <x15:cacheHierarchy aggregatedColumn="14"/>
        </ext>
      </extLst>
    </cacheHierarchy>
    <cacheHierarchy uniqueName="[Measures].[Total Products]" caption="Total Products" measure="1" displayFolder="" measureGroup="supply" count="0"/>
    <cacheHierarchy uniqueName="[Measures].[Total Stock]" caption="Total Stock" measure="1" displayFolder="" measureGroup="supply" count="0"/>
    <cacheHierarchy uniqueName="[Measures].[Total Revenue ]" caption="Total Revenue " measure="1" displayFolder="" measureGroup="supply" count="0" oneField="1">
      <fieldsUsage count="1">
        <fieldUsage x="1"/>
      </fieldsUsage>
    </cacheHierarchy>
    <cacheHierarchy uniqueName="[Measures].[Avgerage Lead Time]" caption="Avgerage Lead Time" measure="1" displayFolder="" measureGroup="supply" count="0"/>
    <cacheHierarchy uniqueName="[Measures].[Avg Shipping Cost]" caption="Avg Shipping Cost" measure="1" displayFolder="" measureGroup="supply" count="0"/>
    <cacheHierarchy uniqueName="[Measures].[Low Stock Count]" caption="Low Stock Count" measure="1" displayFolder="" measureGroup="supply" count="0"/>
    <cacheHierarchy uniqueName="[Measures].[Avg Defect Cost]" caption="Avg Defect Cost" measure="1" displayFolder="" measureGroup="supply" count="0"/>
    <cacheHierarchy uniqueName="[Measures].[Total Manufacturing Cost]" caption="Total Manufacturing Cost" measure="1" displayFolder="" measureGroup="supply" count="0"/>
    <cacheHierarchy uniqueName="[Measures].[Total Units Sold]" caption="Total Units Sold" measure="1" displayFolder="" measureGroup="supply" count="0"/>
    <cacheHierarchy uniqueName="[Measures].[High Stock ]" caption="High Stock " measure="1" displayFolder="" measureGroup="supply" count="0"/>
    <cacheHierarchy uniqueName="[Measures].[__XL_Count supply]" caption="__XL_Count supply" measure="1" displayFolder="" measureGroup="supply" count="0" hidden="1"/>
    <cacheHierarchy uniqueName="[Measures].[__No measures defined]" caption="__No measures defined" measure="1" displayFolder="" count="0" hidden="1"/>
  </cacheHierarchies>
  <kpis count="0"/>
  <dimensions count="2">
    <dimension measure="1" name="Measures" uniqueName="[Measures]" caption="Measures"/>
    <dimension name="supply" uniqueName="[supply]" caption="supply"/>
  </dimensions>
  <measureGroups count="1">
    <measureGroup name="supply" caption="supply"/>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idharth jogi" refreshedDate="46186.690308449077" backgroundQuery="1" createdVersion="8" refreshedVersion="8" minRefreshableVersion="3" recordCount="0" supportSubquery="1" supportAdvancedDrill="1" xr:uid="{4AEE2E18-25FA-436B-8DB2-7E16F57F9CFE}">
  <cacheSource type="external" connectionId="2"/>
  <cacheFields count="3">
    <cacheField name="[supply].[Transportation modes].[Transportation modes]" caption="Transportation modes" numFmtId="0" hierarchy="23" level="1">
      <sharedItems count="4">
        <s v="Air"/>
        <s v="Rail"/>
        <s v="Road"/>
        <s v="Sea"/>
      </sharedItems>
    </cacheField>
    <cacheField name="[Measures].[Sum of Shipping costs]" caption="Sum of Shipping costs" numFmtId="0" hierarchy="26" level="32767"/>
    <cacheField name="[supply].[Stocks Level].[Stocks Level]" caption="Stocks Level" numFmtId="0" hierarchy="9" level="1">
      <sharedItems containsSemiMixedTypes="0" containsNonDate="0" containsString="0"/>
    </cacheField>
  </cacheFields>
  <cacheHierarchies count="39">
    <cacheHierarchy uniqueName="[supply].[Product type]" caption="Product type" attribute="1" defaultMemberUniqueName="[supply].[Product type].[All]" allUniqueName="[supply].[Product type].[All]" dimensionUniqueName="[supply]" displayFolder="" count="0" memberValueDatatype="130" unbalanced="0"/>
    <cacheHierarchy uniqueName="[supply].[SKU]" caption="SKU" attribute="1" defaultMemberUniqueName="[supply].[SKU].[All]" allUniqueName="[supply].[SKU].[All]" dimensionUniqueName="[supply]" displayFolder="" count="0" memberValueDatatype="130" unbalanced="0"/>
    <cacheHierarchy uniqueName="[supply].[Price]" caption="Price" attribute="1" defaultMemberUniqueName="[supply].[Price].[All]" allUniqueName="[supply].[Price].[All]" dimensionUniqueName="[supply]" displayFolder="" count="0" memberValueDatatype="5" unbalanced="0"/>
    <cacheHierarchy uniqueName="[supply].[Availability]" caption="Availability" attribute="1" defaultMemberUniqueName="[supply].[Availability].[All]" allUniqueName="[supply].[Availability].[All]" dimensionUniqueName="[supply]" displayFolder="" count="0" memberValueDatatype="20" unbalanced="0"/>
    <cacheHierarchy uniqueName="[supply].[Availabi;ity Level]" caption="Availabi;ity Level" attribute="1" defaultMemberUniqueName="[supply].[Availabi;ity Level].[All]" allUniqueName="[supply].[Availabi;ity Level].[All]" dimensionUniqueName="[supply]" displayFolder="" count="0" memberValueDatatype="130" unbalanced="0"/>
    <cacheHierarchy uniqueName="[supply].[Number of products sold]" caption="Number of products sold" attribute="1" defaultMemberUniqueName="[supply].[Number of products sold].[All]" allUniqueName="[supply].[Number of products sold].[All]" dimensionUniqueName="[supply]" displayFolder="" count="0" memberValueDatatype="20" unbalanced="0"/>
    <cacheHierarchy uniqueName="[supply].[Revenue generated]" caption="Revenue generated" attribute="1" defaultMemberUniqueName="[supply].[Revenue generated].[All]" allUniqueName="[supply].[Revenue generated].[All]" dimensionUniqueName="[supply]" displayFolder="" count="0" memberValueDatatype="5" unbalanced="0"/>
    <cacheHierarchy uniqueName="[supply].[Customer demographics]" caption="Customer demographics" attribute="1" defaultMemberUniqueName="[supply].[Customer demographics].[All]" allUniqueName="[supply].[Customer demographics].[All]" dimensionUniqueName="[supply]" displayFolder="" count="0" memberValueDatatype="130" unbalanced="0"/>
    <cacheHierarchy uniqueName="[supply].[Stocks]" caption="Stocks" attribute="1" defaultMemberUniqueName="[supply].[Stocks].[All]" allUniqueName="[supply].[Stocks].[All]" dimensionUniqueName="[supply]" displayFolder="" count="0" memberValueDatatype="20" unbalanced="0"/>
    <cacheHierarchy uniqueName="[supply].[Stocks Level]" caption="Stocks Level" attribute="1" defaultMemberUniqueName="[supply].[Stocks Level].[All]" allUniqueName="[supply].[Stocks Level].[All]" dimensionUniqueName="[supply]" displayFolder="" count="2" memberValueDatatype="130" unbalanced="0">
      <fieldsUsage count="2">
        <fieldUsage x="-1"/>
        <fieldUsage x="2"/>
      </fieldsUsage>
    </cacheHierarchy>
    <cacheHierarchy uniqueName="[supply].[Lead times]" caption="Lead times" attribute="1" defaultMemberUniqueName="[supply].[Lead times].[All]" allUniqueName="[supply].[Lead times].[All]" dimensionUniqueName="[supply]" displayFolder="" count="0" memberValueDatatype="20" unbalanced="0"/>
    <cacheHierarchy uniqueName="[supply].[Order quantities]" caption="Order quantities" attribute="1" defaultMemberUniqueName="[supply].[Order quantities].[All]" allUniqueName="[supply].[Order quantities].[All]" dimensionUniqueName="[supply]" displayFolder="" count="0" memberValueDatatype="20" unbalanced="0"/>
    <cacheHierarchy uniqueName="[supply].[Shipping times]" caption="Shipping times" attribute="1" defaultMemberUniqueName="[supply].[Shipping times].[All]" allUniqueName="[supply].[Shipping times].[All]" dimensionUniqueName="[supply]" displayFolder="" count="0" memberValueDatatype="20" unbalanced="0"/>
    <cacheHierarchy uniqueName="[supply].[Shipping carriers]" caption="Shipping carriers" attribute="1" defaultMemberUniqueName="[supply].[Shipping carriers].[All]" allUniqueName="[supply].[Shipping carriers].[All]" dimensionUniqueName="[supply]" displayFolder="" count="0" memberValueDatatype="130" unbalanced="0"/>
    <cacheHierarchy uniqueName="[supply].[Shipping costs]" caption="Shipping costs" attribute="1" defaultMemberUniqueName="[supply].[Shipping costs].[All]" allUniqueName="[supply].[Shipping costs].[All]" dimensionUniqueName="[supply]" displayFolder="" count="0" memberValueDatatype="5" unbalanced="0"/>
    <cacheHierarchy uniqueName="[supply].[Supplier name]" caption="Supplier name" attribute="1" defaultMemberUniqueName="[supply].[Supplier name].[All]" allUniqueName="[supply].[Supplier name].[All]" dimensionUniqueName="[supply]" displayFolder="" count="0" memberValueDatatype="130" unbalanced="0"/>
    <cacheHierarchy uniqueName="[supply].[Location]" caption="Location" attribute="1" defaultMemberUniqueName="[supply].[Location].[All]" allUniqueName="[supply].[Location].[All]" dimensionUniqueName="[supply]" displayFolder="" count="2" memberValueDatatype="130" unbalanced="0"/>
    <cacheHierarchy uniqueName="[supply].[Lead time]" caption="Lead time" attribute="1" defaultMemberUniqueName="[supply].[Lead time].[All]" allUniqueName="[supply].[Lead time].[All]" dimensionUniqueName="[supply]" displayFolder="" count="0" memberValueDatatype="20" unbalanced="0"/>
    <cacheHierarchy uniqueName="[supply].[Production volumes]" caption="Production volumes" attribute="1" defaultMemberUniqueName="[supply].[Production volumes].[All]" allUniqueName="[supply].[Production volumes].[All]" dimensionUniqueName="[supply]" displayFolder="" count="0" memberValueDatatype="20" unbalanced="0"/>
    <cacheHierarchy uniqueName="[supply].[Manufacturing lead time]" caption="Manufacturing lead time" attribute="1" defaultMemberUniqueName="[supply].[Manufacturing lead time].[All]" allUniqueName="[supply].[Manufacturing lead time].[All]" dimensionUniqueName="[supply]" displayFolder="" count="0" memberValueDatatype="20" unbalanced="0"/>
    <cacheHierarchy uniqueName="[supply].[Manufacturing costs]" caption="Manufacturing costs" attribute="1" defaultMemberUniqueName="[supply].[Manufacturing costs].[All]" allUniqueName="[supply].[Manufacturing costs].[All]" dimensionUniqueName="[supply]" displayFolder="" count="0" memberValueDatatype="5" unbalanced="0"/>
    <cacheHierarchy uniqueName="[supply].[Inspection results]" caption="Inspection results" attribute="1" defaultMemberUniqueName="[supply].[Inspection results].[All]" allUniqueName="[supply].[Inspection results].[All]" dimensionUniqueName="[supply]" displayFolder="" count="0" memberValueDatatype="130" unbalanced="0"/>
    <cacheHierarchy uniqueName="[supply].[Defect rates]" caption="Defect rates" attribute="1" defaultMemberUniqueName="[supply].[Defect rates].[All]" allUniqueName="[supply].[Defect rates].[All]" dimensionUniqueName="[supply]" displayFolder="" count="0" memberValueDatatype="5" unbalanced="0"/>
    <cacheHierarchy uniqueName="[supply].[Transportation modes]" caption="Transportation modes" attribute="1" defaultMemberUniqueName="[supply].[Transportation modes].[All]" allUniqueName="[supply].[Transportation modes].[All]" dimensionUniqueName="[supply]" displayFolder="" count="2" memberValueDatatype="130" unbalanced="0">
      <fieldsUsage count="2">
        <fieldUsage x="-1"/>
        <fieldUsage x="0"/>
      </fieldsUsage>
    </cacheHierarchy>
    <cacheHierarchy uniqueName="[supply].[Routes]" caption="Routes" attribute="1" defaultMemberUniqueName="[supply].[Routes].[All]" allUniqueName="[supply].[Routes].[All]" dimensionUniqueName="[supply]" displayFolder="" count="0" memberValueDatatype="130" unbalanced="0"/>
    <cacheHierarchy uniqueName="[supply].[Costs]" caption="Costs" attribute="1" defaultMemberUniqueName="[supply].[Costs].[All]" allUniqueName="[supply].[Costs].[All]" dimensionUniqueName="[supply]" displayFolder="" count="0" memberValueDatatype="5" unbalanced="0"/>
    <cacheHierarchy uniqueName="[Measures].[Sum of Shipping costs]" caption="Sum of Shipping costs" measure="1" displayFolder="" measureGroup="supply" count="0" oneField="1">
      <fieldsUsage count="1">
        <fieldUsage x="1"/>
      </fieldsUsage>
      <extLst>
        <ext xmlns:x15="http://schemas.microsoft.com/office/spreadsheetml/2010/11/main" uri="{B97F6D7D-B522-45F9-BDA1-12C45D357490}">
          <x15:cacheHierarchy aggregatedColumn="14"/>
        </ext>
      </extLst>
    </cacheHierarchy>
    <cacheHierarchy uniqueName="[Measures].[Total Products]" caption="Total Products" measure="1" displayFolder="" measureGroup="supply" count="0"/>
    <cacheHierarchy uniqueName="[Measures].[Total Stock]" caption="Total Stock" measure="1" displayFolder="" measureGroup="supply" count="0"/>
    <cacheHierarchy uniqueName="[Measures].[Total Revenue ]" caption="Total Revenue " measure="1" displayFolder="" measureGroup="supply" count="0"/>
    <cacheHierarchy uniqueName="[Measures].[Avgerage Lead Time]" caption="Avgerage Lead Time" measure="1" displayFolder="" measureGroup="supply" count="0"/>
    <cacheHierarchy uniqueName="[Measures].[Avg Shipping Cost]" caption="Avg Shipping Cost" measure="1" displayFolder="" measureGroup="supply" count="0"/>
    <cacheHierarchy uniqueName="[Measures].[Low Stock Count]" caption="Low Stock Count" measure="1" displayFolder="" measureGroup="supply" count="0"/>
    <cacheHierarchy uniqueName="[Measures].[Avg Defect Cost]" caption="Avg Defect Cost" measure="1" displayFolder="" measureGroup="supply" count="0"/>
    <cacheHierarchy uniqueName="[Measures].[Total Manufacturing Cost]" caption="Total Manufacturing Cost" measure="1" displayFolder="" measureGroup="supply" count="0"/>
    <cacheHierarchy uniqueName="[Measures].[Total Units Sold]" caption="Total Units Sold" measure="1" displayFolder="" measureGroup="supply" count="0"/>
    <cacheHierarchy uniqueName="[Measures].[High Stock ]" caption="High Stock " measure="1" displayFolder="" measureGroup="supply" count="0"/>
    <cacheHierarchy uniqueName="[Measures].[__XL_Count supply]" caption="__XL_Count supply" measure="1" displayFolder="" measureGroup="supply" count="0" hidden="1"/>
    <cacheHierarchy uniqueName="[Measures].[__No measures defined]" caption="__No measures defined" measure="1" displayFolder="" count="0" hidden="1"/>
  </cacheHierarchies>
  <kpis count="0"/>
  <dimensions count="2">
    <dimension measure="1" name="Measures" uniqueName="[Measures]" caption="Measures"/>
    <dimension name="supply" uniqueName="[supply]" caption="supply"/>
  </dimensions>
  <measureGroups count="1">
    <measureGroup name="supply" caption="supply"/>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idharth jogi" refreshedDate="46186.690308912039" backgroundQuery="1" createdVersion="8" refreshedVersion="8" minRefreshableVersion="3" recordCount="0" supportSubquery="1" supportAdvancedDrill="1" xr:uid="{396895E3-07CC-419B-AC71-0E51DDD61159}">
  <cacheSource type="external" connectionId="2"/>
  <cacheFields count="5">
    <cacheField name="[supply].[SKU].[SKU]" caption="SKU" numFmtId="0" hierarchy="1" level="1">
      <sharedItems count="27">
        <s v="SKU15"/>
        <s v="SKU16"/>
        <s v="SKU18"/>
        <s v="SKU2"/>
        <s v="SKU24"/>
        <s v="SKU31"/>
        <s v="SKU33"/>
        <s v="SKU34"/>
        <s v="SKU36"/>
        <s v="SKU4"/>
        <s v="SKU44"/>
        <s v="SKU47"/>
        <s v="SKU57"/>
        <s v="SKU58"/>
        <s v="SKU6"/>
        <s v="SKU66"/>
        <s v="SKU67"/>
        <s v="SKU68"/>
        <s v="SKU70"/>
        <s v="SKU73"/>
        <s v="SKU75"/>
        <s v="SKU78"/>
        <s v="SKU8"/>
        <s v="SKU85"/>
        <s v="SKU87"/>
        <s v="SKU9"/>
        <s v="SKU95"/>
      </sharedItems>
    </cacheField>
    <cacheField name="[supply].[Product type].[Product type]" caption="Product type" numFmtId="0" level="1">
      <sharedItems count="3">
        <s v="cosmetics"/>
        <s v="haircare"/>
        <s v="skincare"/>
      </sharedItems>
    </cacheField>
    <cacheField name="[Measures].[Low Stock Count]" caption="Low Stock Count" numFmtId="0" hierarchy="32" level="32767"/>
    <cacheField name="[Measures].[High Stock ]" caption="High Stock " numFmtId="0" hierarchy="36" level="32767"/>
    <cacheField name="[supply].[Stocks Level].[Stocks Level]" caption="Stocks Level" numFmtId="0" hierarchy="9" level="1">
      <sharedItems containsSemiMixedTypes="0" containsNonDate="0" containsString="0"/>
    </cacheField>
  </cacheFields>
  <cacheHierarchies count="39">
    <cacheHierarchy uniqueName="[supply].[Product type]" caption="Product type" attribute="1" defaultMemberUniqueName="[supply].[Product type].[All]" allUniqueName="[supply].[Product type].[All]" dimensionUniqueName="[supply]" displayFolder="" count="2" memberValueDatatype="130" unbalanced="0">
      <fieldsUsage count="2">
        <fieldUsage x="-1"/>
        <fieldUsage x="1"/>
      </fieldsUsage>
    </cacheHierarchy>
    <cacheHierarchy uniqueName="[supply].[SKU]" caption="SKU" attribute="1" defaultMemberUniqueName="[supply].[SKU].[All]" allUniqueName="[supply].[SKU].[All]" dimensionUniqueName="[supply]" displayFolder="" count="2" memberValueDatatype="130" unbalanced="0">
      <fieldsUsage count="2">
        <fieldUsage x="-1"/>
        <fieldUsage x="0"/>
      </fieldsUsage>
    </cacheHierarchy>
    <cacheHierarchy uniqueName="[supply].[Price]" caption="Price" attribute="1" defaultMemberUniqueName="[supply].[Price].[All]" allUniqueName="[supply].[Price].[All]" dimensionUniqueName="[supply]" displayFolder="" count="0" memberValueDatatype="5" unbalanced="0"/>
    <cacheHierarchy uniqueName="[supply].[Availability]" caption="Availability" attribute="1" defaultMemberUniqueName="[supply].[Availability].[All]" allUniqueName="[supply].[Availability].[All]" dimensionUniqueName="[supply]" displayFolder="" count="0" memberValueDatatype="20" unbalanced="0"/>
    <cacheHierarchy uniqueName="[supply].[Availabi;ity Level]" caption="Availabi;ity Level" attribute="1" defaultMemberUniqueName="[supply].[Availabi;ity Level].[All]" allUniqueName="[supply].[Availabi;ity Level].[All]" dimensionUniqueName="[supply]" displayFolder="" count="0" memberValueDatatype="130" unbalanced="0"/>
    <cacheHierarchy uniqueName="[supply].[Number of products sold]" caption="Number of products sold" attribute="1" defaultMemberUniqueName="[supply].[Number of products sold].[All]" allUniqueName="[supply].[Number of products sold].[All]" dimensionUniqueName="[supply]" displayFolder="" count="0" memberValueDatatype="20" unbalanced="0"/>
    <cacheHierarchy uniqueName="[supply].[Revenue generated]" caption="Revenue generated" attribute="1" defaultMemberUniqueName="[supply].[Revenue generated].[All]" allUniqueName="[supply].[Revenue generated].[All]" dimensionUniqueName="[supply]" displayFolder="" count="0" memberValueDatatype="5" unbalanced="0"/>
    <cacheHierarchy uniqueName="[supply].[Customer demographics]" caption="Customer demographics" attribute="1" defaultMemberUniqueName="[supply].[Customer demographics].[All]" allUniqueName="[supply].[Customer demographics].[All]" dimensionUniqueName="[supply]" displayFolder="" count="0" memberValueDatatype="130" unbalanced="0"/>
    <cacheHierarchy uniqueName="[supply].[Stocks]" caption="Stocks" attribute="1" defaultMemberUniqueName="[supply].[Stocks].[All]" allUniqueName="[supply].[Stocks].[All]" dimensionUniqueName="[supply]" displayFolder="" count="0" memberValueDatatype="20" unbalanced="0"/>
    <cacheHierarchy uniqueName="[supply].[Stocks Level]" caption="Stocks Level" attribute="1" defaultMemberUniqueName="[supply].[Stocks Level].[All]" allUniqueName="[supply].[Stocks Level].[All]" dimensionUniqueName="[supply]" displayFolder="" count="2" memberValueDatatype="130" unbalanced="0">
      <fieldsUsage count="2">
        <fieldUsage x="-1"/>
        <fieldUsage x="4"/>
      </fieldsUsage>
    </cacheHierarchy>
    <cacheHierarchy uniqueName="[supply].[Lead times]" caption="Lead times" attribute="1" defaultMemberUniqueName="[supply].[Lead times].[All]" allUniqueName="[supply].[Lead times].[All]" dimensionUniqueName="[supply]" displayFolder="" count="0" memberValueDatatype="20" unbalanced="0"/>
    <cacheHierarchy uniqueName="[supply].[Order quantities]" caption="Order quantities" attribute="1" defaultMemberUniqueName="[supply].[Order quantities].[All]" allUniqueName="[supply].[Order quantities].[All]" dimensionUniqueName="[supply]" displayFolder="" count="0" memberValueDatatype="20" unbalanced="0"/>
    <cacheHierarchy uniqueName="[supply].[Shipping times]" caption="Shipping times" attribute="1" defaultMemberUniqueName="[supply].[Shipping times].[All]" allUniqueName="[supply].[Shipping times].[All]" dimensionUniqueName="[supply]" displayFolder="" count="0" memberValueDatatype="20" unbalanced="0"/>
    <cacheHierarchy uniqueName="[supply].[Shipping carriers]" caption="Shipping carriers" attribute="1" defaultMemberUniqueName="[supply].[Shipping carriers].[All]" allUniqueName="[supply].[Shipping carriers].[All]" dimensionUniqueName="[supply]" displayFolder="" count="0" memberValueDatatype="130" unbalanced="0"/>
    <cacheHierarchy uniqueName="[supply].[Shipping costs]" caption="Shipping costs" attribute="1" defaultMemberUniqueName="[supply].[Shipping costs].[All]" allUniqueName="[supply].[Shipping costs].[All]" dimensionUniqueName="[supply]" displayFolder="" count="0" memberValueDatatype="5" unbalanced="0"/>
    <cacheHierarchy uniqueName="[supply].[Supplier name]" caption="Supplier name" attribute="1" defaultMemberUniqueName="[supply].[Supplier name].[All]" allUniqueName="[supply].[Supplier name].[All]" dimensionUniqueName="[supply]" displayFolder="" count="0" memberValueDatatype="130" unbalanced="0"/>
    <cacheHierarchy uniqueName="[supply].[Location]" caption="Location" attribute="1" defaultMemberUniqueName="[supply].[Location].[All]" allUniqueName="[supply].[Location].[All]" dimensionUniqueName="[supply]" displayFolder="" count="2" memberValueDatatype="130" unbalanced="0"/>
    <cacheHierarchy uniqueName="[supply].[Lead time]" caption="Lead time" attribute="1" defaultMemberUniqueName="[supply].[Lead time].[All]" allUniqueName="[supply].[Lead time].[All]" dimensionUniqueName="[supply]" displayFolder="" count="0" memberValueDatatype="20" unbalanced="0"/>
    <cacheHierarchy uniqueName="[supply].[Production volumes]" caption="Production volumes" attribute="1" defaultMemberUniqueName="[supply].[Production volumes].[All]" allUniqueName="[supply].[Production volumes].[All]" dimensionUniqueName="[supply]" displayFolder="" count="0" memberValueDatatype="20" unbalanced="0"/>
    <cacheHierarchy uniqueName="[supply].[Manufacturing lead time]" caption="Manufacturing lead time" attribute="1" defaultMemberUniqueName="[supply].[Manufacturing lead time].[All]" allUniqueName="[supply].[Manufacturing lead time].[All]" dimensionUniqueName="[supply]" displayFolder="" count="0" memberValueDatatype="20" unbalanced="0"/>
    <cacheHierarchy uniqueName="[supply].[Manufacturing costs]" caption="Manufacturing costs" attribute="1" defaultMemberUniqueName="[supply].[Manufacturing costs].[All]" allUniqueName="[supply].[Manufacturing costs].[All]" dimensionUniqueName="[supply]" displayFolder="" count="0" memberValueDatatype="5" unbalanced="0"/>
    <cacheHierarchy uniqueName="[supply].[Inspection results]" caption="Inspection results" attribute="1" defaultMemberUniqueName="[supply].[Inspection results].[All]" allUniqueName="[supply].[Inspection results].[All]" dimensionUniqueName="[supply]" displayFolder="" count="0" memberValueDatatype="130" unbalanced="0"/>
    <cacheHierarchy uniqueName="[supply].[Defect rates]" caption="Defect rates" attribute="1" defaultMemberUniqueName="[supply].[Defect rates].[All]" allUniqueName="[supply].[Defect rates].[All]" dimensionUniqueName="[supply]" displayFolder="" count="0" memberValueDatatype="5" unbalanced="0"/>
    <cacheHierarchy uniqueName="[supply].[Transportation modes]" caption="Transportation modes" attribute="1" defaultMemberUniqueName="[supply].[Transportation modes].[All]" allUniqueName="[supply].[Transportation modes].[All]" dimensionUniqueName="[supply]" displayFolder="" count="2" memberValueDatatype="130" unbalanced="0"/>
    <cacheHierarchy uniqueName="[supply].[Routes]" caption="Routes" attribute="1" defaultMemberUniqueName="[supply].[Routes].[All]" allUniqueName="[supply].[Routes].[All]" dimensionUniqueName="[supply]" displayFolder="" count="0" memberValueDatatype="130" unbalanced="0"/>
    <cacheHierarchy uniqueName="[supply].[Costs]" caption="Costs" attribute="1" defaultMemberUniqueName="[supply].[Costs].[All]" allUniqueName="[supply].[Costs].[All]" dimensionUniqueName="[supply]" displayFolder="" count="0" memberValueDatatype="5" unbalanced="0"/>
    <cacheHierarchy uniqueName="[Measures].[Sum of Shipping costs]" caption="Sum of Shipping costs" measure="1" displayFolder="" measureGroup="supply" count="0">
      <extLst>
        <ext xmlns:x15="http://schemas.microsoft.com/office/spreadsheetml/2010/11/main" uri="{B97F6D7D-B522-45F9-BDA1-12C45D357490}">
          <x15:cacheHierarchy aggregatedColumn="14"/>
        </ext>
      </extLst>
    </cacheHierarchy>
    <cacheHierarchy uniqueName="[Measures].[Total Products]" caption="Total Products" measure="1" displayFolder="" measureGroup="supply" count="0"/>
    <cacheHierarchy uniqueName="[Measures].[Total Stock]" caption="Total Stock" measure="1" displayFolder="" measureGroup="supply" count="0"/>
    <cacheHierarchy uniqueName="[Measures].[Total Revenue ]" caption="Total Revenue " measure="1" displayFolder="" measureGroup="supply" count="0"/>
    <cacheHierarchy uniqueName="[Measures].[Avgerage Lead Time]" caption="Avgerage Lead Time" measure="1" displayFolder="" measureGroup="supply" count="0"/>
    <cacheHierarchy uniqueName="[Measures].[Avg Shipping Cost]" caption="Avg Shipping Cost" measure="1" displayFolder="" measureGroup="supply" count="0"/>
    <cacheHierarchy uniqueName="[Measures].[Low Stock Count]" caption="Low Stock Count" measure="1" displayFolder="" measureGroup="supply" count="0" oneField="1">
      <fieldsUsage count="1">
        <fieldUsage x="2"/>
      </fieldsUsage>
    </cacheHierarchy>
    <cacheHierarchy uniqueName="[Measures].[Avg Defect Cost]" caption="Avg Defect Cost" measure="1" displayFolder="" measureGroup="supply" count="0"/>
    <cacheHierarchy uniqueName="[Measures].[Total Manufacturing Cost]" caption="Total Manufacturing Cost" measure="1" displayFolder="" measureGroup="supply" count="0"/>
    <cacheHierarchy uniqueName="[Measures].[Total Units Sold]" caption="Total Units Sold" measure="1" displayFolder="" measureGroup="supply" count="0"/>
    <cacheHierarchy uniqueName="[Measures].[High Stock ]" caption="High Stock " measure="1" displayFolder="" measureGroup="supply" count="0" oneField="1">
      <fieldsUsage count="1">
        <fieldUsage x="3"/>
      </fieldsUsage>
    </cacheHierarchy>
    <cacheHierarchy uniqueName="[Measures].[__XL_Count supply]" caption="__XL_Count supply" measure="1" displayFolder="" measureGroup="supply" count="0" hidden="1"/>
    <cacheHierarchy uniqueName="[Measures].[__No measures defined]" caption="__No measures defined" measure="1" displayFolder="" count="0" hidden="1"/>
  </cacheHierarchies>
  <kpis count="0"/>
  <dimensions count="2">
    <dimension measure="1" name="Measures" uniqueName="[Measures]" caption="Measures"/>
    <dimension name="supply" uniqueName="[supply]" caption="supply"/>
  </dimensions>
  <measureGroups count="1">
    <measureGroup name="supply" caption="supply"/>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idharth jogi" refreshedDate="46186.690309375001" backgroundQuery="1" createdVersion="8" refreshedVersion="8" minRefreshableVersion="3" recordCount="0" supportSubquery="1" supportAdvancedDrill="1" xr:uid="{6D6F2EE1-E507-46D8-9BDE-715ADB449CFB}">
  <cacheSource type="external" connectionId="2"/>
  <cacheFields count="3">
    <cacheField name="[supply].[Supplier name].[Supplier name]" caption="Supplier name" numFmtId="0" hierarchy="15" level="1">
      <sharedItems count="5">
        <s v="Supplier 1"/>
        <s v="Supplier 2"/>
        <s v="Supplier 3"/>
        <s v="Supplier 4"/>
        <s v="Supplier 5"/>
      </sharedItems>
    </cacheField>
    <cacheField name="[Measures].[Avgerage Lead Time]" caption="Avgerage Lead Time" numFmtId="0" hierarchy="30" level="32767"/>
    <cacheField name="[supply].[Stocks Level].[Stocks Level]" caption="Stocks Level" numFmtId="0" hierarchy="9" level="1">
      <sharedItems containsSemiMixedTypes="0" containsNonDate="0" containsString="0"/>
    </cacheField>
  </cacheFields>
  <cacheHierarchies count="39">
    <cacheHierarchy uniqueName="[supply].[Product type]" caption="Product type" attribute="1" defaultMemberUniqueName="[supply].[Product type].[All]" allUniqueName="[supply].[Product type].[All]" dimensionUniqueName="[supply]" displayFolder="" count="0" memberValueDatatype="130" unbalanced="0"/>
    <cacheHierarchy uniqueName="[supply].[SKU]" caption="SKU" attribute="1" defaultMemberUniqueName="[supply].[SKU].[All]" allUniqueName="[supply].[SKU].[All]" dimensionUniqueName="[supply]" displayFolder="" count="0" memberValueDatatype="130" unbalanced="0"/>
    <cacheHierarchy uniqueName="[supply].[Price]" caption="Price" attribute="1" defaultMemberUniqueName="[supply].[Price].[All]" allUniqueName="[supply].[Price].[All]" dimensionUniqueName="[supply]" displayFolder="" count="0" memberValueDatatype="5" unbalanced="0"/>
    <cacheHierarchy uniqueName="[supply].[Availability]" caption="Availability" attribute="1" defaultMemberUniqueName="[supply].[Availability].[All]" allUniqueName="[supply].[Availability].[All]" dimensionUniqueName="[supply]" displayFolder="" count="0" memberValueDatatype="20" unbalanced="0"/>
    <cacheHierarchy uniqueName="[supply].[Availabi;ity Level]" caption="Availabi;ity Level" attribute="1" defaultMemberUniqueName="[supply].[Availabi;ity Level].[All]" allUniqueName="[supply].[Availabi;ity Level].[All]" dimensionUniqueName="[supply]" displayFolder="" count="0" memberValueDatatype="130" unbalanced="0"/>
    <cacheHierarchy uniqueName="[supply].[Number of products sold]" caption="Number of products sold" attribute="1" defaultMemberUniqueName="[supply].[Number of products sold].[All]" allUniqueName="[supply].[Number of products sold].[All]" dimensionUniqueName="[supply]" displayFolder="" count="0" memberValueDatatype="20" unbalanced="0"/>
    <cacheHierarchy uniqueName="[supply].[Revenue generated]" caption="Revenue generated" attribute="1" defaultMemberUniqueName="[supply].[Revenue generated].[All]" allUniqueName="[supply].[Revenue generated].[All]" dimensionUniqueName="[supply]" displayFolder="" count="0" memberValueDatatype="5" unbalanced="0"/>
    <cacheHierarchy uniqueName="[supply].[Customer demographics]" caption="Customer demographics" attribute="1" defaultMemberUniqueName="[supply].[Customer demographics].[All]" allUniqueName="[supply].[Customer demographics].[All]" dimensionUniqueName="[supply]" displayFolder="" count="0" memberValueDatatype="130" unbalanced="0"/>
    <cacheHierarchy uniqueName="[supply].[Stocks]" caption="Stocks" attribute="1" defaultMemberUniqueName="[supply].[Stocks].[All]" allUniqueName="[supply].[Stocks].[All]" dimensionUniqueName="[supply]" displayFolder="" count="0" memberValueDatatype="20" unbalanced="0"/>
    <cacheHierarchy uniqueName="[supply].[Stocks Level]" caption="Stocks Level" attribute="1" defaultMemberUniqueName="[supply].[Stocks Level].[All]" allUniqueName="[supply].[Stocks Level].[All]" dimensionUniqueName="[supply]" displayFolder="" count="2" memberValueDatatype="130" unbalanced="0">
      <fieldsUsage count="2">
        <fieldUsage x="-1"/>
        <fieldUsage x="2"/>
      </fieldsUsage>
    </cacheHierarchy>
    <cacheHierarchy uniqueName="[supply].[Lead times]" caption="Lead times" attribute="1" defaultMemberUniqueName="[supply].[Lead times].[All]" allUniqueName="[supply].[Lead times].[All]" dimensionUniqueName="[supply]" displayFolder="" count="0" memberValueDatatype="20" unbalanced="0"/>
    <cacheHierarchy uniqueName="[supply].[Order quantities]" caption="Order quantities" attribute="1" defaultMemberUniqueName="[supply].[Order quantities].[All]" allUniqueName="[supply].[Order quantities].[All]" dimensionUniqueName="[supply]" displayFolder="" count="0" memberValueDatatype="20" unbalanced="0"/>
    <cacheHierarchy uniqueName="[supply].[Shipping times]" caption="Shipping times" attribute="1" defaultMemberUniqueName="[supply].[Shipping times].[All]" allUniqueName="[supply].[Shipping times].[All]" dimensionUniqueName="[supply]" displayFolder="" count="0" memberValueDatatype="20" unbalanced="0"/>
    <cacheHierarchy uniqueName="[supply].[Shipping carriers]" caption="Shipping carriers" attribute="1" defaultMemberUniqueName="[supply].[Shipping carriers].[All]" allUniqueName="[supply].[Shipping carriers].[All]" dimensionUniqueName="[supply]" displayFolder="" count="0" memberValueDatatype="130" unbalanced="0"/>
    <cacheHierarchy uniqueName="[supply].[Shipping costs]" caption="Shipping costs" attribute="1" defaultMemberUniqueName="[supply].[Shipping costs].[All]" allUniqueName="[supply].[Shipping costs].[All]" dimensionUniqueName="[supply]" displayFolder="" count="0" memberValueDatatype="5" unbalanced="0"/>
    <cacheHierarchy uniqueName="[supply].[Supplier name]" caption="Supplier name" attribute="1" defaultMemberUniqueName="[supply].[Supplier name].[All]" allUniqueName="[supply].[Supplier name].[All]" dimensionUniqueName="[supply]" displayFolder="" count="2" memberValueDatatype="130" unbalanced="0">
      <fieldsUsage count="2">
        <fieldUsage x="-1"/>
        <fieldUsage x="0"/>
      </fieldsUsage>
    </cacheHierarchy>
    <cacheHierarchy uniqueName="[supply].[Location]" caption="Location" attribute="1" defaultMemberUniqueName="[supply].[Location].[All]" allUniqueName="[supply].[Location].[All]" dimensionUniqueName="[supply]" displayFolder="" count="2" memberValueDatatype="130" unbalanced="0"/>
    <cacheHierarchy uniqueName="[supply].[Lead time]" caption="Lead time" attribute="1" defaultMemberUniqueName="[supply].[Lead time].[All]" allUniqueName="[supply].[Lead time].[All]" dimensionUniqueName="[supply]" displayFolder="" count="0" memberValueDatatype="20" unbalanced="0"/>
    <cacheHierarchy uniqueName="[supply].[Production volumes]" caption="Production volumes" attribute="1" defaultMemberUniqueName="[supply].[Production volumes].[All]" allUniqueName="[supply].[Production volumes].[All]" dimensionUniqueName="[supply]" displayFolder="" count="0" memberValueDatatype="20" unbalanced="0"/>
    <cacheHierarchy uniqueName="[supply].[Manufacturing lead time]" caption="Manufacturing lead time" attribute="1" defaultMemberUniqueName="[supply].[Manufacturing lead time].[All]" allUniqueName="[supply].[Manufacturing lead time].[All]" dimensionUniqueName="[supply]" displayFolder="" count="0" memberValueDatatype="20" unbalanced="0"/>
    <cacheHierarchy uniqueName="[supply].[Manufacturing costs]" caption="Manufacturing costs" attribute="1" defaultMemberUniqueName="[supply].[Manufacturing costs].[All]" allUniqueName="[supply].[Manufacturing costs].[All]" dimensionUniqueName="[supply]" displayFolder="" count="0" memberValueDatatype="5" unbalanced="0"/>
    <cacheHierarchy uniqueName="[supply].[Inspection results]" caption="Inspection results" attribute="1" defaultMemberUniqueName="[supply].[Inspection results].[All]" allUniqueName="[supply].[Inspection results].[All]" dimensionUniqueName="[supply]" displayFolder="" count="0" memberValueDatatype="130" unbalanced="0"/>
    <cacheHierarchy uniqueName="[supply].[Defect rates]" caption="Defect rates" attribute="1" defaultMemberUniqueName="[supply].[Defect rates].[All]" allUniqueName="[supply].[Defect rates].[All]" dimensionUniqueName="[supply]" displayFolder="" count="0" memberValueDatatype="5" unbalanced="0"/>
    <cacheHierarchy uniqueName="[supply].[Transportation modes]" caption="Transportation modes" attribute="1" defaultMemberUniqueName="[supply].[Transportation modes].[All]" allUniqueName="[supply].[Transportation modes].[All]" dimensionUniqueName="[supply]" displayFolder="" count="2" memberValueDatatype="130" unbalanced="0"/>
    <cacheHierarchy uniqueName="[supply].[Routes]" caption="Routes" attribute="1" defaultMemberUniqueName="[supply].[Routes].[All]" allUniqueName="[supply].[Routes].[All]" dimensionUniqueName="[supply]" displayFolder="" count="0" memberValueDatatype="130" unbalanced="0"/>
    <cacheHierarchy uniqueName="[supply].[Costs]" caption="Costs" attribute="1" defaultMemberUniqueName="[supply].[Costs].[All]" allUniqueName="[supply].[Costs].[All]" dimensionUniqueName="[supply]" displayFolder="" count="0" memberValueDatatype="5" unbalanced="0"/>
    <cacheHierarchy uniqueName="[Measures].[Sum of Shipping costs]" caption="Sum of Shipping costs" measure="1" displayFolder="" measureGroup="supply" count="0">
      <extLst>
        <ext xmlns:x15="http://schemas.microsoft.com/office/spreadsheetml/2010/11/main" uri="{B97F6D7D-B522-45F9-BDA1-12C45D357490}">
          <x15:cacheHierarchy aggregatedColumn="14"/>
        </ext>
      </extLst>
    </cacheHierarchy>
    <cacheHierarchy uniqueName="[Measures].[Total Products]" caption="Total Products" measure="1" displayFolder="" measureGroup="supply" count="0"/>
    <cacheHierarchy uniqueName="[Measures].[Total Stock]" caption="Total Stock" measure="1" displayFolder="" measureGroup="supply" count="0"/>
    <cacheHierarchy uniqueName="[Measures].[Total Revenue ]" caption="Total Revenue " measure="1" displayFolder="" measureGroup="supply" count="0"/>
    <cacheHierarchy uniqueName="[Measures].[Avgerage Lead Time]" caption="Avgerage Lead Time" measure="1" displayFolder="" measureGroup="supply" count="0" oneField="1">
      <fieldsUsage count="1">
        <fieldUsage x="1"/>
      </fieldsUsage>
    </cacheHierarchy>
    <cacheHierarchy uniqueName="[Measures].[Avg Shipping Cost]" caption="Avg Shipping Cost" measure="1" displayFolder="" measureGroup="supply" count="0"/>
    <cacheHierarchy uniqueName="[Measures].[Low Stock Count]" caption="Low Stock Count" measure="1" displayFolder="" measureGroup="supply" count="0"/>
    <cacheHierarchy uniqueName="[Measures].[Avg Defect Cost]" caption="Avg Defect Cost" measure="1" displayFolder="" measureGroup="supply" count="0"/>
    <cacheHierarchy uniqueName="[Measures].[Total Manufacturing Cost]" caption="Total Manufacturing Cost" measure="1" displayFolder="" measureGroup="supply" count="0"/>
    <cacheHierarchy uniqueName="[Measures].[Total Units Sold]" caption="Total Units Sold" measure="1" displayFolder="" measureGroup="supply" count="0"/>
    <cacheHierarchy uniqueName="[Measures].[High Stock ]" caption="High Stock " measure="1" displayFolder="" measureGroup="supply" count="0"/>
    <cacheHierarchy uniqueName="[Measures].[__XL_Count supply]" caption="__XL_Count supply" measure="1" displayFolder="" measureGroup="supply" count="0" hidden="1"/>
    <cacheHierarchy uniqueName="[Measures].[__No measures defined]" caption="__No measures defined" measure="1" displayFolder="" count="0" hidden="1"/>
  </cacheHierarchies>
  <kpis count="0"/>
  <dimensions count="2">
    <dimension measure="1" name="Measures" uniqueName="[Measures]" caption="Measures"/>
    <dimension name="supply" uniqueName="[supply]" caption="supply"/>
  </dimensions>
  <measureGroups count="1">
    <measureGroup name="supply" caption="supply"/>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idharth jogi" refreshedDate="46186.511049189816" backgroundQuery="1" createdVersion="3" refreshedVersion="8" minRefreshableVersion="3" recordCount="0" supportSubquery="1" supportAdvancedDrill="1" xr:uid="{BDB8EE23-9C57-4FF8-A4F4-683B2DB7451E}">
  <cacheSource type="external" connectionId="2">
    <extLst>
      <ext xmlns:x14="http://schemas.microsoft.com/office/spreadsheetml/2009/9/main" uri="{F057638F-6D5F-4e77-A914-E7F072B9BCA8}">
        <x14:sourceConnection name="ThisWorkbookDataModel"/>
      </ext>
    </extLst>
  </cacheSource>
  <cacheFields count="0"/>
  <cacheHierarchies count="40">
    <cacheHierarchy uniqueName="[Measures]" caption="Measures" attribute="1" keyAttribute="1" defaultMemberUniqueName="[Measures].[__No measures defined]" dimensionUniqueName="[Measures]" displayFolder="" measures="1" count="1" memberValueDatatype="130" unbalanced="0"/>
    <cacheHierarchy uniqueName="[supply].[Product type]" caption="Product type" attribute="1" defaultMemberUniqueName="[supply].[Product type].[All]" allUniqueName="[supply].[Product type].[All]" dimensionUniqueName="[supply]" displayFolder="" count="2" memberValueDatatype="130" unbalanced="0"/>
    <cacheHierarchy uniqueName="[supply].[SKU]" caption="SKU" attribute="1" defaultMemberUniqueName="[supply].[SKU].[All]" allUniqueName="[supply].[SKU].[All]" dimensionUniqueName="[supply]" displayFolder="" count="2" memberValueDatatype="130" unbalanced="0"/>
    <cacheHierarchy uniqueName="[supply].[Price]" caption="Price" attribute="1" defaultMemberUniqueName="[supply].[Price].[All]" allUniqueName="[supply].[Price].[All]" dimensionUniqueName="[supply]" displayFolder="" count="2" memberValueDatatype="5" unbalanced="0"/>
    <cacheHierarchy uniqueName="[supply].[Availability]" caption="Availability" attribute="1" defaultMemberUniqueName="[supply].[Availability].[All]" allUniqueName="[supply].[Availability].[All]" dimensionUniqueName="[supply]" displayFolder="" count="2" memberValueDatatype="20" unbalanced="0"/>
    <cacheHierarchy uniqueName="[supply].[Availabi;ity Level]" caption="Availabi;ity Level" attribute="1" defaultMemberUniqueName="[supply].[Availabi;ity Level].[All]" allUniqueName="[supply].[Availabi;ity Level].[All]" dimensionUniqueName="[supply]" displayFolder="" count="2" memberValueDatatype="130" unbalanced="0"/>
    <cacheHierarchy uniqueName="[supply].[Number of products sold]" caption="Number of products sold" attribute="1" defaultMemberUniqueName="[supply].[Number of products sold].[All]" allUniqueName="[supply].[Number of products sold].[All]" dimensionUniqueName="[supply]" displayFolder="" count="2" memberValueDatatype="20" unbalanced="0"/>
    <cacheHierarchy uniqueName="[supply].[Revenue generated]" caption="Revenue generated" attribute="1" defaultMemberUniqueName="[supply].[Revenue generated].[All]" allUniqueName="[supply].[Revenue generated].[All]" dimensionUniqueName="[supply]" displayFolder="" count="2" memberValueDatatype="5" unbalanced="0"/>
    <cacheHierarchy uniqueName="[supply].[Customer demographics]" caption="Customer demographics" attribute="1" defaultMemberUniqueName="[supply].[Customer demographics].[All]" allUniqueName="[supply].[Customer demographics].[All]" dimensionUniqueName="[supply]" displayFolder="" count="2" memberValueDatatype="130" unbalanced="0"/>
    <cacheHierarchy uniqueName="[supply].[Stocks]" caption="Stocks" attribute="1" defaultMemberUniqueName="[supply].[Stocks].[All]" allUniqueName="[supply].[Stocks].[All]" dimensionUniqueName="[supply]" displayFolder="" count="2" memberValueDatatype="20" unbalanced="0"/>
    <cacheHierarchy uniqueName="[supply].[Stocks Level]" caption="Stocks Level" attribute="1" defaultMemberUniqueName="[supply].[Stocks Level].[All]" allUniqueName="[supply].[Stocks Level].[All]" dimensionUniqueName="[supply]" displayFolder="" count="2" memberValueDatatype="130" unbalanced="0"/>
    <cacheHierarchy uniqueName="[supply].[Lead times]" caption="Lead times" attribute="1" defaultMemberUniqueName="[supply].[Lead times].[All]" allUniqueName="[supply].[Lead times].[All]" dimensionUniqueName="[supply]" displayFolder="" count="2" memberValueDatatype="20" unbalanced="0"/>
    <cacheHierarchy uniqueName="[supply].[Order quantities]" caption="Order quantities" attribute="1" defaultMemberUniqueName="[supply].[Order quantities].[All]" allUniqueName="[supply].[Order quantities].[All]" dimensionUniqueName="[supply]" displayFolder="" count="2" memberValueDatatype="20" unbalanced="0"/>
    <cacheHierarchy uniqueName="[supply].[Shipping times]" caption="Shipping times" attribute="1" defaultMemberUniqueName="[supply].[Shipping times].[All]" allUniqueName="[supply].[Shipping times].[All]" dimensionUniqueName="[supply]" displayFolder="" count="2" memberValueDatatype="20" unbalanced="0"/>
    <cacheHierarchy uniqueName="[supply].[Shipping carriers]" caption="Shipping carriers" attribute="1" defaultMemberUniqueName="[supply].[Shipping carriers].[All]" allUniqueName="[supply].[Shipping carriers].[All]" dimensionUniqueName="[supply]" displayFolder="" count="2" memberValueDatatype="130" unbalanced="0"/>
    <cacheHierarchy uniqueName="[supply].[Shipping costs]" caption="Shipping costs" attribute="1" defaultMemberUniqueName="[supply].[Shipping costs].[All]" allUniqueName="[supply].[Shipping costs].[All]" dimensionUniqueName="[supply]" displayFolder="" count="2" memberValueDatatype="5" unbalanced="0"/>
    <cacheHierarchy uniqueName="[supply].[Supplier name]" caption="Supplier name" attribute="1" defaultMemberUniqueName="[supply].[Supplier name].[All]" allUniqueName="[supply].[Supplier name].[All]" dimensionUniqueName="[supply]" displayFolder="" count="2" memberValueDatatype="130" unbalanced="0"/>
    <cacheHierarchy uniqueName="[supply].[Location]" caption="Location" attribute="1" defaultMemberUniqueName="[supply].[Location].[All]" allUniqueName="[supply].[Location].[All]" dimensionUniqueName="[supply]" displayFolder="" count="2" memberValueDatatype="130" unbalanced="0"/>
    <cacheHierarchy uniqueName="[supply].[Lead time]" caption="Lead time" attribute="1" defaultMemberUniqueName="[supply].[Lead time].[All]" allUniqueName="[supply].[Lead time].[All]" dimensionUniqueName="[supply]" displayFolder="" count="2" memberValueDatatype="20" unbalanced="0"/>
    <cacheHierarchy uniqueName="[supply].[Production volumes]" caption="Production volumes" attribute="1" defaultMemberUniqueName="[supply].[Production volumes].[All]" allUniqueName="[supply].[Production volumes].[All]" dimensionUniqueName="[supply]" displayFolder="" count="2" memberValueDatatype="20" unbalanced="0"/>
    <cacheHierarchy uniqueName="[supply].[Manufacturing lead time]" caption="Manufacturing lead time" attribute="1" defaultMemberUniqueName="[supply].[Manufacturing lead time].[All]" allUniqueName="[supply].[Manufacturing lead time].[All]" dimensionUniqueName="[supply]" displayFolder="" count="2" memberValueDatatype="20" unbalanced="0"/>
    <cacheHierarchy uniqueName="[supply].[Manufacturing costs]" caption="Manufacturing costs" attribute="1" defaultMemberUniqueName="[supply].[Manufacturing costs].[All]" allUniqueName="[supply].[Manufacturing costs].[All]" dimensionUniqueName="[supply]" displayFolder="" count="2" memberValueDatatype="5" unbalanced="0"/>
    <cacheHierarchy uniqueName="[supply].[Inspection results]" caption="Inspection results" attribute="1" defaultMemberUniqueName="[supply].[Inspection results].[All]" allUniqueName="[supply].[Inspection results].[All]" dimensionUniqueName="[supply]" displayFolder="" count="2" memberValueDatatype="130" unbalanced="0"/>
    <cacheHierarchy uniqueName="[supply].[Defect rates]" caption="Defect rates" attribute="1" defaultMemberUniqueName="[supply].[Defect rates].[All]" allUniqueName="[supply].[Defect rates].[All]" dimensionUniqueName="[supply]" displayFolder="" count="2" memberValueDatatype="5" unbalanced="0"/>
    <cacheHierarchy uniqueName="[supply].[Transportation modes]" caption="Transportation modes" attribute="1" defaultMemberUniqueName="[supply].[Transportation modes].[All]" allUniqueName="[supply].[Transportation modes].[All]" dimensionUniqueName="[supply]" displayFolder="" count="2" memberValueDatatype="130" unbalanced="0"/>
    <cacheHierarchy uniqueName="[supply].[Routes]" caption="Routes" attribute="1" defaultMemberUniqueName="[supply].[Routes].[All]" allUniqueName="[supply].[Routes].[All]" dimensionUniqueName="[supply]" displayFolder="" count="2" memberValueDatatype="130" unbalanced="0"/>
    <cacheHierarchy uniqueName="[supply].[Costs]" caption="Costs" attribute="1" defaultMemberUniqueName="[supply].[Costs].[All]" allUniqueName="[supply].[Costs].[All]" dimensionUniqueName="[supply]" displayFolder="" count="2" memberValueDatatype="5" unbalanced="0"/>
    <cacheHierarchy uniqueName="[Measures].[Sum of Shipping costs]" caption="Sum of Shipping costs" measure="1" displayFolder="" measureGroup="supply" count="0">
      <extLst>
        <ext xmlns:x15="http://schemas.microsoft.com/office/spreadsheetml/2010/11/main" uri="{B97F6D7D-B522-45F9-BDA1-12C45D357490}">
          <x15:cacheHierarchy aggregatedColumn="15"/>
        </ext>
      </extLst>
    </cacheHierarchy>
    <cacheHierarchy uniqueName="[Measures].[Total Products]" caption="Total Products" measure="1" displayFolder="" measureGroup="supply" count="0"/>
    <cacheHierarchy uniqueName="[Measures].[Total Stock]" caption="Total Stock" measure="1" displayFolder="" measureGroup="supply" count="0"/>
    <cacheHierarchy uniqueName="[Measures].[Total Revenue ]" caption="Total Revenue " measure="1" displayFolder="" measureGroup="supply" count="0"/>
    <cacheHierarchy uniqueName="[Measures].[Avgerage Lead Time]" caption="Avgerage Lead Time" measure="1" displayFolder="" measureGroup="supply" count="0"/>
    <cacheHierarchy uniqueName="[Measures].[Avg Shipping Cost]" caption="Avg Shipping Cost" measure="1" displayFolder="" measureGroup="supply" count="0"/>
    <cacheHierarchy uniqueName="[Measures].[Low Stock Count]" caption="Low Stock Count" measure="1" displayFolder="" measureGroup="supply" count="0"/>
    <cacheHierarchy uniqueName="[Measures].[Avg Defect Cost]" caption="Avg Defect Cost" measure="1" displayFolder="" measureGroup="supply" count="0"/>
    <cacheHierarchy uniqueName="[Measures].[Total Manufacturing Cost]" caption="Total Manufacturing Cost" measure="1" displayFolder="" measureGroup="supply" count="0"/>
    <cacheHierarchy uniqueName="[Measures].[Total Units Sold]" caption="Total Units Sold" measure="1" displayFolder="" measureGroup="supply" count="0"/>
    <cacheHierarchy uniqueName="[Measures].[High Stock ]" caption="High Stock " measure="1" displayFolder="" measureGroup="supply" count="0"/>
    <cacheHierarchy uniqueName="[Measures].[__XL_Count supply]" caption="__XL_Count supply" measure="1" displayFolder="" measureGroup="supply" count="0" hidden="1"/>
    <cacheHierarchy uniqueName="[Measures].[__No measures defined]" caption="__No measures defined" measure="1" displayFolder="" count="0" hidden="1"/>
  </cacheHierarchies>
  <kpis count="0"/>
  <dimensions count="2">
    <dimension measure="1" name="Measures" uniqueName="[Measures]" caption="Measures"/>
    <dimension name="supply" uniqueName="[supply]" caption="supply"/>
  </dimensions>
  <measureGroups count="1">
    <measureGroup name="supply" caption="supply"/>
  </measureGroups>
  <maps count="1">
    <map measureGroup="0" dimension="1"/>
  </maps>
  <extLst>
    <ext xmlns:x14="http://schemas.microsoft.com/office/spreadsheetml/2009/9/main" uri="{725AE2AE-9491-48be-B2B4-4EB974FC3084}">
      <x14:pivotCacheDefinition slicerData="1" pivotCacheId="134328440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783127E-E2D2-4139-BA01-710773B6070B}"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I4" firstHeaderRow="0" firstDataRow="1" firstDataCol="0"/>
  <pivotFields count="1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9">
    <i>
      <x/>
    </i>
    <i i="1">
      <x v="1"/>
    </i>
    <i i="2">
      <x v="2"/>
    </i>
    <i i="3">
      <x v="3"/>
    </i>
    <i i="4">
      <x v="4"/>
    </i>
    <i i="5">
      <x v="5"/>
    </i>
    <i i="6">
      <x v="6"/>
    </i>
    <i i="7">
      <x v="7"/>
    </i>
    <i i="8">
      <x v="8"/>
    </i>
  </colItems>
  <dataFields count="9">
    <dataField fld="0" subtotal="count" baseField="0" baseItem="0"/>
    <dataField fld="1" subtotal="count" baseField="0" baseItem="0"/>
    <dataField fld="2" subtotal="count" baseField="0" baseItem="0"/>
    <dataField fld="3" subtotal="count" baseField="0" baseItem="0" numFmtId="165"/>
    <dataField fld="4" subtotal="count" baseField="0" baseItem="0"/>
    <dataField fld="5" subtotal="count" baseField="0" baseItem="0" numFmtId="165"/>
    <dataField fld="6" subtotal="count" baseField="0" baseItem="0" numFmtId="165"/>
    <dataField fld="7" subtotal="count" baseField="0" baseItem="0" numFmtId="165"/>
    <dataField fld="8" subtotal="count" baseField="0" baseItem="0"/>
  </dataField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supply">
        <x15:activeTabTopLevelEntity name="[suppl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B4204E8-96DA-46EC-989B-BA16E793F8CE}" name="PivotTable9" cacheId="7"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3">
  <location ref="A27:B33"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fld="1" subtotal="count" baseField="0" baseItem="0" numFmtId="2"/>
  </dataFields>
  <formats count="3">
    <format dxfId="2">
      <pivotArea dataOnly="0" labelOnly="1" outline="0" axis="axisValues" fieldPosition="0"/>
    </format>
    <format dxfId="1">
      <pivotArea collapsedLevelsAreSubtotals="1" fieldPosition="0">
        <references count="1">
          <reference field="0" count="1">
            <x v="0"/>
          </reference>
        </references>
      </pivotArea>
    </format>
    <format dxfId="0">
      <pivotArea outline="0" fieldPosition="0">
        <references count="1">
          <reference field="4294967294" count="1">
            <x v="0"/>
          </reference>
        </references>
      </pivotArea>
    </format>
  </formats>
  <chartFormats count="1">
    <chartFormat chart="12" format="4" series="1">
      <pivotArea type="data" outline="0" fieldPosition="0">
        <references count="1">
          <reference field="4294967294" count="1" selected="0">
            <x v="0"/>
          </reference>
        </references>
      </pivotArea>
    </chartFormat>
  </chartFormat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supply">
        <x15:activeTabTopLevelEntity name="[suppl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65A8A82-5849-453F-8B3C-38C9FF1B7E53}" name="PivotTable8"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K3:M7" firstHeaderRow="0" firstDataRow="1" firstDataCol="1"/>
  <pivotFields count="5">
    <pivotField allDrilled="1" subtotalTop="0" showAll="0" sortType="descending" defaultSubtotal="0" defaultAttributeDrillState="1">
      <items count="27">
        <item x="26"/>
        <item x="25"/>
        <item x="24"/>
        <item x="23"/>
        <item x="22"/>
        <item x="21"/>
        <item x="20"/>
        <item x="19"/>
        <item x="18"/>
        <item x="17"/>
        <item x="16"/>
        <item x="15"/>
        <item x="14"/>
        <item x="13"/>
        <item x="12"/>
        <item x="11"/>
        <item x="10"/>
        <item x="9"/>
        <item x="8"/>
        <item x="7"/>
        <item x="6"/>
        <item x="5"/>
        <item x="4"/>
        <item x="3"/>
        <item x="2"/>
        <item x="1"/>
        <item x="0"/>
      </items>
    </pivotField>
    <pivotField axis="axisRow" allDrilled="1" subtotalTop="0" showAll="0" sortType="descending" defaultSubtotal="0" defaultAttributeDrillState="1">
      <items count="3">
        <item x="2"/>
        <item x="1"/>
        <item x="0"/>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1"/>
  </rowFields>
  <rowItems count="4">
    <i>
      <x/>
    </i>
    <i>
      <x v="1"/>
    </i>
    <i>
      <x v="2"/>
    </i>
    <i t="grand">
      <x/>
    </i>
  </rowItems>
  <colFields count="1">
    <field x="-2"/>
  </colFields>
  <colItems count="2">
    <i>
      <x/>
    </i>
    <i i="1">
      <x v="1"/>
    </i>
  </colItems>
  <dataFields count="2">
    <dataField fld="2" subtotal="count" baseField="0" baseItem="0"/>
    <dataField fld="3" subtotal="count" baseField="0" baseItem="0"/>
  </dataFields>
  <chartFormats count="2">
    <chartFormat chart="23" format="11" series="1">
      <pivotArea type="data" outline="0" fieldPosition="0">
        <references count="1">
          <reference field="4294967294" count="1" selected="0">
            <x v="0"/>
          </reference>
        </references>
      </pivotArea>
    </chartFormat>
    <chartFormat chart="23" format="12" series="1">
      <pivotArea type="data" outline="0" fieldPosition="0">
        <references count="1">
          <reference field="4294967294" count="1" selected="0">
            <x v="1"/>
          </reference>
        </references>
      </pivotArea>
    </chartFormat>
  </chartFormat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supply">
        <x15:activeTabTopLevelEntity name="[suppl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4774441-1E82-42B4-BD0A-3514BDA6100A}" name="PivotTable7"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7:B42" firstHeaderRow="1" firstDataRow="1" firstDataCol="1"/>
  <pivotFields count="3">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5">
    <i>
      <x v="2"/>
    </i>
    <i>
      <x/>
    </i>
    <i>
      <x v="1"/>
    </i>
    <i>
      <x v="3"/>
    </i>
    <i t="grand">
      <x/>
    </i>
  </rowItems>
  <colItems count="1">
    <i/>
  </colItems>
  <dataFields count="1">
    <dataField name="Total Shipping costs" fld="1" baseField="0" baseItem="0" numFmtId="165"/>
  </dataFields>
  <formats count="2">
    <format dxfId="4">
      <pivotArea dataOnly="0" labelOnly="1" outline="0" axis="axisValues" fieldPosition="0"/>
    </format>
    <format dxfId="3">
      <pivotArea outline="0" fieldPosition="0">
        <references count="1">
          <reference field="4294967294" count="1">
            <x v="0"/>
          </reference>
        </references>
      </pivotArea>
    </format>
  </formats>
  <chartFormats count="1">
    <chartFormat chart="11" format="4" series="1">
      <pivotArea type="data" outline="0" fieldPosition="0">
        <references count="1">
          <reference field="4294967294" count="1" selected="0">
            <x v="0"/>
          </reference>
        </references>
      </pivotArea>
    </chartFormat>
  </chartFormat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caption="Total Shipping cost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supply">
        <x15:activeTabTopLevelEntity name="[suppl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7AF7740-D4F3-42C6-B430-E1FD16EE4D0F}" name="PivotTable6"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21:B25"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fld="1" subtotal="count" baseField="0" baseItem="0" numFmtId="165"/>
  </dataFields>
  <chartFormats count="4">
    <chartFormat chart="17" format="13" series="1">
      <pivotArea type="data" outline="0" fieldPosition="0">
        <references count="1">
          <reference field="4294967294" count="1" selected="0">
            <x v="0"/>
          </reference>
        </references>
      </pivotArea>
    </chartFormat>
    <chartFormat chart="17" format="14">
      <pivotArea type="data" outline="0" fieldPosition="0">
        <references count="2">
          <reference field="4294967294" count="1" selected="0">
            <x v="0"/>
          </reference>
          <reference field="0" count="1" selected="0">
            <x v="0"/>
          </reference>
        </references>
      </pivotArea>
    </chartFormat>
    <chartFormat chart="17" format="15">
      <pivotArea type="data" outline="0" fieldPosition="0">
        <references count="2">
          <reference field="4294967294" count="1" selected="0">
            <x v="0"/>
          </reference>
          <reference field="0" count="1" selected="0">
            <x v="1"/>
          </reference>
        </references>
      </pivotArea>
    </chartFormat>
    <chartFormat chart="17" format="16">
      <pivotArea type="data" outline="0" fieldPosition="0">
        <references count="2">
          <reference field="4294967294" count="1" selected="0">
            <x v="0"/>
          </reference>
          <reference field="0" count="1" selected="0">
            <x v="2"/>
          </reference>
        </references>
      </pivotArea>
    </chartFormat>
  </chartFormat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supply">
        <x15:activeTabTopLevelEntity name="[suppl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99974AC-8D9A-48FB-8E08-9B78989DCCD6}" name="PivotTable1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D19:E25" firstHeaderRow="1" firstDataRow="1" firstDataCol="1"/>
  <pivotFields count="3">
    <pivotField axis="axisRow" allDrilled="1" subtotalTop="0" showAll="0" sortType="descending" defaultSubtotal="0" defaultAttributeDrillState="1">
      <items count="5">
        <item x="4"/>
        <item x="3"/>
        <item x="2"/>
        <item x="1"/>
        <item x="0"/>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fld="1" subtotal="count" baseField="0" baseItem="0" numFmtId="165"/>
  </dataFields>
  <chartFormats count="2">
    <chartFormat chart="7" format="7" series="1">
      <pivotArea type="data" outline="0" fieldPosition="0">
        <references count="1">
          <reference field="4294967294" count="1" selected="0">
            <x v="0"/>
          </reference>
        </references>
      </pivotArea>
    </chartFormat>
    <chartFormat chart="8" format="8" series="1">
      <pivotArea type="data" outline="0" fieldPosition="0">
        <references count="1">
          <reference field="4294967294" count="1" selected="0">
            <x v="0"/>
          </reference>
        </references>
      </pivotArea>
    </chartFormat>
  </chartFormat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supply">
        <x15:activeTabTopLevelEntity name="[suppl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8F8FFE6-B32A-4CA6-A841-7555D92AC33F}"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D3:E9" firstHeaderRow="1" firstDataRow="1" firstDataCol="1"/>
  <pivotFields count="3">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v="4"/>
    </i>
    <i>
      <x v="2"/>
    </i>
    <i>
      <x v="1"/>
    </i>
    <i>
      <x v="3"/>
    </i>
    <i>
      <x/>
    </i>
    <i t="grand">
      <x/>
    </i>
  </rowItems>
  <colItems count="1">
    <i/>
  </colItems>
  <dataFields count="1">
    <dataField fld="1" subtotal="count" baseField="0" baseItem="0" numFmtId="165"/>
  </dataFields>
  <chartFormats count="6">
    <chartFormat chart="5" format="19" series="1">
      <pivotArea type="data" outline="0" fieldPosition="0">
        <references count="1">
          <reference field="4294967294" count="1" selected="0">
            <x v="0"/>
          </reference>
        </references>
      </pivotArea>
    </chartFormat>
    <chartFormat chart="5" format="20">
      <pivotArea type="data" outline="0" fieldPosition="0">
        <references count="2">
          <reference field="4294967294" count="1" selected="0">
            <x v="0"/>
          </reference>
          <reference field="0" count="1" selected="0">
            <x v="4"/>
          </reference>
        </references>
      </pivotArea>
    </chartFormat>
    <chartFormat chart="5" format="21">
      <pivotArea type="data" outline="0" fieldPosition="0">
        <references count="2">
          <reference field="4294967294" count="1" selected="0">
            <x v="0"/>
          </reference>
          <reference field="0" count="1" selected="0">
            <x v="2"/>
          </reference>
        </references>
      </pivotArea>
    </chartFormat>
    <chartFormat chart="5" format="22">
      <pivotArea type="data" outline="0" fieldPosition="0">
        <references count="2">
          <reference field="4294967294" count="1" selected="0">
            <x v="0"/>
          </reference>
          <reference field="0" count="1" selected="0">
            <x v="1"/>
          </reference>
        </references>
      </pivotArea>
    </chartFormat>
    <chartFormat chart="5" format="23">
      <pivotArea type="data" outline="0" fieldPosition="0">
        <references count="2">
          <reference field="4294967294" count="1" selected="0">
            <x v="0"/>
          </reference>
          <reference field="0" count="1" selected="0">
            <x v="3"/>
          </reference>
        </references>
      </pivotArea>
    </chartFormat>
    <chartFormat chart="5" format="24">
      <pivotArea type="data" outline="0" fieldPosition="0">
        <references count="2">
          <reference field="4294967294" count="1" selected="0">
            <x v="0"/>
          </reference>
          <reference field="0" count="1" selected="0">
            <x v="0"/>
          </reference>
        </references>
      </pivotArea>
    </chartFormat>
  </chartFormat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supply">
        <x15:activeTabTopLevelEntity name="[suppl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D2D0000-B5F3-4FBE-B00B-A41CFC708453}" name="PivotTable5" cacheId="3"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1">
  <location ref="A3:B14" firstHeaderRow="1" firstDataRow="1" firstDataCol="1"/>
  <pivotFields count="3">
    <pivotField axis="axisRow" allDrilled="1" showAll="0" measureFilter="1" defaultAttributeDrillState="1">
      <items count="11">
        <item x="2"/>
        <item x="5"/>
        <item x="6"/>
        <item x="7"/>
        <item x="0"/>
        <item x="1"/>
        <item x="3"/>
        <item x="4"/>
        <item x="8"/>
        <item x="9"/>
        <item t="default"/>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fld="1" subtotal="count" baseField="0" baseItem="0"/>
  </dataField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35">
      <autoFilter ref="A1">
        <filterColumn colId="0">
          <top10 val="10" filterVal="10"/>
        </filterColumn>
      </autoFilter>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supply">
        <x15:activeTabTopLevelEntity name="[supply]"/>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F0795BAE-FCB7-4E65-B5CA-1C1572A58F26}" autoFormatId="16" applyNumberFormats="0" applyBorderFormats="0" applyFontFormats="0" applyPatternFormats="0" applyAlignmentFormats="0" applyWidthHeightFormats="0">
  <queryTableRefresh nextId="27">
    <queryTableFields count="26">
      <queryTableField id="1" name="Product type" tableColumnId="1"/>
      <queryTableField id="2" name="SKU" tableColumnId="2"/>
      <queryTableField id="3" name="Price" tableColumnId="3"/>
      <queryTableField id="4" name="Availability" tableColumnId="4"/>
      <queryTableField id="26" dataBound="0" tableColumnId="27"/>
      <queryTableField id="5" name="Number of products sold" tableColumnId="5"/>
      <queryTableField id="6" name="Revenue generated" tableColumnId="6"/>
      <queryTableField id="7" name="Customer demographics" tableColumnId="7"/>
      <queryTableField id="8" name="Stock levels" tableColumnId="8"/>
      <queryTableField id="25" dataBound="0" tableColumnId="26"/>
      <queryTableField id="9" name="Lead times" tableColumnId="9"/>
      <queryTableField id="10" name="Order quantities" tableColumnId="10"/>
      <queryTableField id="11" name="Shipping times" tableColumnId="11"/>
      <queryTableField id="12" name="Shipping carriers" tableColumnId="12"/>
      <queryTableField id="13" name="Shipping costs" tableColumnId="13"/>
      <queryTableField id="14" name="Supplier name" tableColumnId="14"/>
      <queryTableField id="15" name="Location" tableColumnId="15"/>
      <queryTableField id="16" name="Lead time" tableColumnId="16"/>
      <queryTableField id="17" name="Production volumes" tableColumnId="17"/>
      <queryTableField id="18" name="Manufacturing lead time" tableColumnId="18"/>
      <queryTableField id="19" name="Manufacturing costs" tableColumnId="19"/>
      <queryTableField id="20" name="Inspection results" tableColumnId="20"/>
      <queryTableField id="21" name="Defect rates" tableColumnId="21"/>
      <queryTableField id="22" name="Transportation modes" tableColumnId="22"/>
      <queryTableField id="23" name="Routes" tableColumnId="23"/>
      <queryTableField id="24" name="Costs" tableColumnId="2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ansportation_modes" xr10:uid="{F6863B67-303A-4A60-B035-2F96EE78870E}" sourceName="[supply].[Transportation modes]">
  <pivotTables>
    <pivotTable tabId="4" name="PivotTable3"/>
    <pivotTable tabId="5" name="PivotTable10"/>
    <pivotTable tabId="5" name="PivotTable11"/>
    <pivotTable tabId="5" name="PivotTable5"/>
    <pivotTable tabId="5" name="PivotTable6"/>
    <pivotTable tabId="5" name="PivotTable7"/>
    <pivotTable tabId="5" name="PivotTable8"/>
    <pivotTable tabId="5" name="PivotTable9"/>
  </pivotTables>
  <data>
    <olap pivotCacheId="1343284402">
      <levels count="2">
        <level uniqueName="[supply].[Transportation modes].[(All)]" sourceCaption="(All)" count="0"/>
        <level uniqueName="[supply].[Transportation modes].[Transportation modes]" sourceCaption="Transportation modes" count="4">
          <ranges>
            <range startItem="0">
              <i n="[supply].[Transportation modes].&amp;[Air]" c="Air"/>
              <i n="[supply].[Transportation modes].&amp;[Rail]" c="Rail"/>
              <i n="[supply].[Transportation modes].&amp;[Road]" c="Road"/>
              <i n="[supply].[Transportation modes].&amp;[Sea]" c="Sea"/>
            </range>
          </ranges>
        </level>
      </levels>
      <selections count="1">
        <selection n="[supply].[Transportation modes].[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cks_Level" xr10:uid="{C7896FEF-7BDF-4E4C-8281-54785FF3C908}" sourceName="[supply].[Stocks Level]">
  <pivotTables>
    <pivotTable tabId="4" name="PivotTable3"/>
    <pivotTable tabId="5" name="PivotTable10"/>
    <pivotTable tabId="5" name="PivotTable11"/>
    <pivotTable tabId="5" name="PivotTable5"/>
    <pivotTable tabId="5" name="PivotTable6"/>
    <pivotTable tabId="5" name="PivotTable7"/>
    <pivotTable tabId="5" name="PivotTable8"/>
    <pivotTable tabId="5" name="PivotTable9"/>
  </pivotTables>
  <data>
    <olap pivotCacheId="1343284402">
      <levels count="2">
        <level uniqueName="[supply].[Stocks Level].[(All)]" sourceCaption="(All)" count="0"/>
        <level uniqueName="[supply].[Stocks Level].[Stocks Level]" sourceCaption="Stocks Level" count="3">
          <ranges>
            <range startItem="0">
              <i n="[supply].[Stocks Level].&amp;[High Stock]" c="High Stock"/>
              <i n="[supply].[Stocks Level].&amp;[Low Stock]" c="Low Stock"/>
              <i n="[supply].[Stocks Level].&amp;[Medium Stock]" c="Medium Stock"/>
            </range>
          </ranges>
        </level>
      </levels>
      <selections count="1">
        <selection n="[supply].[Stocks Level].[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B88E5824-5A2F-488A-8862-6A374B1466C1}" sourceName="[supply].[Location]">
  <pivotTables>
    <pivotTable tabId="4" name="PivotTable3"/>
    <pivotTable tabId="5" name="PivotTable10"/>
    <pivotTable tabId="5" name="PivotTable5"/>
    <pivotTable tabId="5" name="PivotTable6"/>
    <pivotTable tabId="5" name="PivotTable7"/>
    <pivotTable tabId="5" name="PivotTable8"/>
    <pivotTable tabId="5" name="PivotTable9"/>
  </pivotTables>
  <data>
    <olap pivotCacheId="1343284402">
      <levels count="2">
        <level uniqueName="[supply].[Location].[(All)]" sourceCaption="(All)" count="0"/>
        <level uniqueName="[supply].[Location].[Location]" sourceCaption="Location" count="5">
          <ranges>
            <range startItem="0">
              <i n="[supply].[Location].&amp;[Bangalore]" c="Bangalore"/>
              <i n="[supply].[Location].&amp;[Chennai]" c="Chennai"/>
              <i n="[supply].[Location].&amp;[Delhi]" c="Delhi"/>
              <i n="[supply].[Location].&amp;[Kolkata]" c="Kolkata"/>
              <i n="[supply].[Location].&amp;[Mumbai]" c="Mumbai"/>
            </range>
          </ranges>
        </level>
      </levels>
      <selections count="1">
        <selection n="[supply].[Locat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ransportation modes" xr10:uid="{333406F4-D0FF-4D3A-85CB-D15831AC1629}" cache="Slicer_Transportation_modes" caption="Transportation modes" level="1" style="SlicerStyleLight2" rowHeight="234950"/>
  <slicer name="Stocks Level" xr10:uid="{5075A003-401A-4005-93C0-4CDC43B6B190}" cache="Slicer_Stocks_Level" caption="Stocks Level" level="1" style="SlicerStyleLight2" rowHeight="234950"/>
  <slicer name="Location" xr10:uid="{B2ACF91A-8E8A-4ED9-9D0B-6CBD7BB1E745}" cache="Slicer_Location" caption="Location" level="1" style="SlicerStyleLight2"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9C524E8-6B7F-4C2C-AAD5-B4C7215389B8}" name="supply" displayName="supply" ref="A1:Z101" tableType="queryTable" totalsRowShown="0">
  <autoFilter ref="A1:Z101" xr:uid="{A9C524E8-6B7F-4C2C-AAD5-B4C7215389B8}"/>
  <tableColumns count="26">
    <tableColumn id="1" xr3:uid="{CC5AE9AA-3C9A-43B2-9B93-10984B11684C}" uniqueName="1" name="Product type" queryTableFieldId="1" dataDxfId="17"/>
    <tableColumn id="2" xr3:uid="{27FC3030-1263-49AD-8961-340062F16A20}" uniqueName="2" name="SKU" queryTableFieldId="2" dataDxfId="16"/>
    <tableColumn id="3" xr3:uid="{0CC98D0D-70DC-48CA-9335-7F9C03627221}" uniqueName="3" name="Price" queryTableFieldId="3" dataDxfId="15"/>
    <tableColumn id="4" xr3:uid="{F5B465D4-CD1A-4B85-8D8F-0417446FFCFA}" uniqueName="4" name="Availability" queryTableFieldId="4"/>
    <tableColumn id="27" xr3:uid="{6ECBD63E-9682-47E0-93DB-A44D9B049876}" uniqueName="27" name="Availabi;ity Level" queryTableFieldId="26" dataDxfId="14">
      <calculatedColumnFormula array="1">_xlfn.IFS(supply[[#This Row],[Availability]]&lt;=20,"Low",supply[[#This Row],[Availability]]&lt;=50,"medium",supply[[#This Row],[Availability]]&lt;=100,"High")</calculatedColumnFormula>
    </tableColumn>
    <tableColumn id="5" xr3:uid="{FA8CA587-7845-47F2-9901-4A5ECF1AB0D1}" uniqueName="5" name="Number of products sold" queryTableFieldId="5"/>
    <tableColumn id="6" xr3:uid="{BBA1C9AA-C016-4B2E-BA8F-E45253EF879A}" uniqueName="6" name="Revenue generated" queryTableFieldId="6" dataCellStyle="Currency"/>
    <tableColumn id="7" xr3:uid="{61F45B79-9CB0-44C5-A088-9A6ADD082D98}" uniqueName="7" name="Customer demographics" queryTableFieldId="7" dataDxfId="13"/>
    <tableColumn id="8" xr3:uid="{A8C9C5AC-DF2E-48C6-B615-7AB46BE742D7}" uniqueName="8" name="Stocks" queryTableFieldId="8"/>
    <tableColumn id="26" xr3:uid="{43C21523-FA3B-4771-AF69-307748F0CCAB}" uniqueName="26" name="Stocks Level" queryTableFieldId="25" dataDxfId="12">
      <calculatedColumnFormula array="1">_xlfn.IFS(supply[[#This Row],[Stocks]]&lt;20,"Low Stock",supply[[#This Row],[Stocks]]&lt;50,"Medium Stock", supply[[#This Row],[Stocks]]&lt;=100, "High Stock")</calculatedColumnFormula>
    </tableColumn>
    <tableColumn id="9" xr3:uid="{F6FAD147-F6D4-4A7F-A560-F963132E87FC}" uniqueName="9" name="Lead times" queryTableFieldId="9"/>
    <tableColumn id="10" xr3:uid="{6E29ED0C-F130-46D3-A413-A8127B114224}" uniqueName="10" name="Order quantities" queryTableFieldId="10"/>
    <tableColumn id="11" xr3:uid="{8A4C5617-1591-4464-A9AD-5AB90F3DEBBC}" uniqueName="11" name="Shipping times" queryTableFieldId="11"/>
    <tableColumn id="12" xr3:uid="{1AB4454D-7BFC-445A-A114-1B788BAF2CBF}" uniqueName="12" name="Shipping carriers" queryTableFieldId="12" dataDxfId="11"/>
    <tableColumn id="13" xr3:uid="{18BC048D-EEBE-47B5-AA3C-06408D4B5414}" uniqueName="13" name="Shipping costs" queryTableFieldId="13" dataDxfId="10" dataCellStyle="Currency"/>
    <tableColumn id="14" xr3:uid="{38F44BC9-3C1A-4AE0-9B4C-DD622AE641B9}" uniqueName="14" name="Supplier name" queryTableFieldId="14" dataDxfId="9"/>
    <tableColumn id="15" xr3:uid="{CD1BDEA5-3F91-42F2-B13F-0E28F7915A01}" uniqueName="15" name="Location" queryTableFieldId="15" dataDxfId="8"/>
    <tableColumn id="16" xr3:uid="{1777947A-4254-4977-87EA-61EF642B51AA}" uniqueName="16" name="Lead time" queryTableFieldId="16"/>
    <tableColumn id="17" xr3:uid="{021E416A-94A4-49AB-BF58-875BCA237E48}" uniqueName="17" name="Production volumes" queryTableFieldId="17"/>
    <tableColumn id="18" xr3:uid="{124AFC9A-AD69-4DD2-B3FA-A6FC2A3A9CC7}" uniqueName="18" name="Manufacturing lead time" queryTableFieldId="18"/>
    <tableColumn id="19" xr3:uid="{C36A8597-C14F-4888-935B-383B0523C878}" uniqueName="19" name="Manufacturing costs" queryTableFieldId="19" dataCellStyle="Currency"/>
    <tableColumn id="20" xr3:uid="{E440C8FE-586F-4E6E-B5BC-8F1E7735E5BA}" uniqueName="20" name="Inspection results" queryTableFieldId="20" dataDxfId="7"/>
    <tableColumn id="21" xr3:uid="{1E4812C8-7D20-4591-9F37-BA8397D7ADED}" uniqueName="21" name="Defect rates" queryTableFieldId="21" dataCellStyle="Currency"/>
    <tableColumn id="22" xr3:uid="{3AA30771-BCFE-46CF-A105-69441695076E}" uniqueName="22" name="Transportation modes" queryTableFieldId="22" dataDxfId="6"/>
    <tableColumn id="23" xr3:uid="{2A468234-4DE9-4870-9831-9D2B8DE2552E}" uniqueName="23" name="Routes" queryTableFieldId="23" dataDxfId="5"/>
    <tableColumn id="24" xr3:uid="{9F86D505-9DA7-4CB9-84D9-1D256BA8CB76}" uniqueName="24" name="Costs" queryTableFieldId="24" dataCellStyle="Currency"/>
  </tableColumns>
  <tableStyleInfo name="TableStyleLight1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pivotTable" Target="../pivotTables/pivotTable4.xml"/><Relationship Id="rId7" Type="http://schemas.openxmlformats.org/officeDocument/2006/relationships/pivotTable" Target="../pivotTables/pivotTable8.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C4E976-F24C-418F-BB85-9F06EE1EF2AC}">
  <dimension ref="A1:Z101"/>
  <sheetViews>
    <sheetView topLeftCell="A2" workbookViewId="0">
      <selection activeCell="G19" sqref="G19"/>
    </sheetView>
  </sheetViews>
  <sheetFormatPr defaultRowHeight="14.4" x14ac:dyDescent="0.3"/>
  <cols>
    <col min="1" max="1" width="14.109375" bestFit="1" customWidth="1"/>
    <col min="2" max="2" width="6.6640625" bestFit="1" customWidth="1"/>
    <col min="3" max="3" width="12" style="3" bestFit="1" customWidth="1"/>
    <col min="4" max="4" width="12.44140625" bestFit="1" customWidth="1"/>
    <col min="5" max="5" width="12.44140625" customWidth="1"/>
    <col min="6" max="6" width="24.44140625" bestFit="1" customWidth="1"/>
    <col min="7" max="7" width="19.77734375" style="4" bestFit="1" customWidth="1"/>
    <col min="8" max="8" width="24" bestFit="1" customWidth="1"/>
    <col min="9" max="9" width="13" bestFit="1" customWidth="1"/>
    <col min="10" max="10" width="16.5546875" customWidth="1"/>
    <col min="11" max="11" width="16.88671875" bestFit="1" customWidth="1"/>
    <col min="12" max="12" width="15.6640625" bestFit="1" customWidth="1"/>
    <col min="13" max="13" width="17.21875" bestFit="1" customWidth="1"/>
    <col min="14" max="14" width="15.33203125" bestFit="1" customWidth="1"/>
    <col min="15" max="15" width="15.44140625" style="5" bestFit="1" customWidth="1"/>
    <col min="16" max="16" width="15.33203125" customWidth="1"/>
    <col min="17" max="17" width="11.44140625" bestFit="1" customWidth="1"/>
    <col min="18" max="18" width="20.33203125" bestFit="1" customWidth="1"/>
    <col min="19" max="19" width="24.33203125" bestFit="1" customWidth="1"/>
    <col min="20" max="20" width="20.6640625" bestFit="1" customWidth="1"/>
    <col min="21" max="21" width="26.21875" style="4" customWidth="1"/>
    <col min="22" max="22" width="18.44140625" customWidth="1"/>
    <col min="23" max="23" width="22" style="4" bestFit="1" customWidth="1"/>
    <col min="24" max="24" width="9" bestFit="1" customWidth="1"/>
    <col min="25" max="25" width="12" bestFit="1" customWidth="1"/>
    <col min="26" max="26" width="8.88671875" style="4"/>
  </cols>
  <sheetData>
    <row r="1" spans="1:26" x14ac:dyDescent="0.3">
      <c r="A1" t="s">
        <v>0</v>
      </c>
      <c r="B1" t="s">
        <v>1</v>
      </c>
      <c r="C1" s="3" t="s">
        <v>2</v>
      </c>
      <c r="D1" t="s">
        <v>3</v>
      </c>
      <c r="E1" t="s">
        <v>153</v>
      </c>
      <c r="F1" t="s">
        <v>4</v>
      </c>
      <c r="G1" s="4" t="s">
        <v>5</v>
      </c>
      <c r="H1" t="s">
        <v>6</v>
      </c>
      <c r="I1" t="s">
        <v>155</v>
      </c>
      <c r="J1" t="s">
        <v>154</v>
      </c>
      <c r="K1" t="s">
        <v>7</v>
      </c>
      <c r="L1" t="s">
        <v>8</v>
      </c>
      <c r="M1" t="s">
        <v>9</v>
      </c>
      <c r="N1" t="s">
        <v>10</v>
      </c>
      <c r="O1" s="5" t="s">
        <v>11</v>
      </c>
      <c r="P1" t="s">
        <v>12</v>
      </c>
      <c r="Q1" t="s">
        <v>13</v>
      </c>
      <c r="R1" t="s">
        <v>14</v>
      </c>
      <c r="S1" t="s">
        <v>15</v>
      </c>
      <c r="T1" t="s">
        <v>16</v>
      </c>
      <c r="U1" s="4" t="s">
        <v>17</v>
      </c>
      <c r="V1" t="s">
        <v>18</v>
      </c>
      <c r="W1" s="4" t="s">
        <v>19</v>
      </c>
      <c r="X1" t="s">
        <v>20</v>
      </c>
      <c r="Y1" t="s">
        <v>21</v>
      </c>
      <c r="Z1" s="4" t="s">
        <v>22</v>
      </c>
    </row>
    <row r="2" spans="1:26" x14ac:dyDescent="0.3">
      <c r="A2" t="s">
        <v>23</v>
      </c>
      <c r="B2" t="s">
        <v>24</v>
      </c>
      <c r="C2" s="3">
        <v>69.808005542115765</v>
      </c>
      <c r="D2">
        <v>55</v>
      </c>
      <c r="E2" t="str" cm="1">
        <f t="array" ref="E2">_xlfn.IFS(supply[[#This Row],[Availability]]&lt;=20,"Low",supply[[#This Row],[Availability]]&lt;=50,"medium",supply[[#This Row],[Availability]]&lt;=100,"High")</f>
        <v>High</v>
      </c>
      <c r="F2">
        <v>802</v>
      </c>
      <c r="G2" s="4">
        <v>8661.9967923923832</v>
      </c>
      <c r="H2" t="s">
        <v>25</v>
      </c>
      <c r="I2">
        <v>58</v>
      </c>
      <c r="J2" t="str" cm="1">
        <f t="array" ref="J2">_xlfn.IFS(supply[[#This Row],[Stocks]]&lt;20,"Low Stock",supply[[#This Row],[Stocks]]&lt;50,"Medium Stock", supply[[#This Row],[Stocks]]&lt;=100, "High Stock")</f>
        <v>High Stock</v>
      </c>
      <c r="K2">
        <v>7</v>
      </c>
      <c r="L2">
        <v>96</v>
      </c>
      <c r="M2">
        <v>4</v>
      </c>
      <c r="N2" t="s">
        <v>26</v>
      </c>
      <c r="O2" s="5">
        <v>2.9565721394308069</v>
      </c>
      <c r="P2" t="s">
        <v>27</v>
      </c>
      <c r="Q2" t="s">
        <v>28</v>
      </c>
      <c r="R2">
        <v>29</v>
      </c>
      <c r="S2">
        <v>215</v>
      </c>
      <c r="T2">
        <v>29</v>
      </c>
      <c r="U2" s="4">
        <v>46.279879240508322</v>
      </c>
      <c r="V2" t="s">
        <v>29</v>
      </c>
      <c r="W2" s="4">
        <v>0.22641036084992516</v>
      </c>
      <c r="X2" t="s">
        <v>30</v>
      </c>
      <c r="Y2" t="s">
        <v>31</v>
      </c>
      <c r="Z2" s="4">
        <v>187.75207545920392</v>
      </c>
    </row>
    <row r="3" spans="1:26" x14ac:dyDescent="0.3">
      <c r="A3" t="s">
        <v>32</v>
      </c>
      <c r="B3" t="s">
        <v>33</v>
      </c>
      <c r="C3" s="3">
        <v>14.843523275084339</v>
      </c>
      <c r="D3">
        <v>95</v>
      </c>
      <c r="E3" t="str" cm="1">
        <f t="array" ref="E3">_xlfn.IFS(supply[[#This Row],[Availability]]&lt;=20,"Low",supply[[#This Row],[Availability]]&lt;=50,"medium",supply[[#This Row],[Availability]]&lt;=100,"High")</f>
        <v>High</v>
      </c>
      <c r="F3">
        <v>736</v>
      </c>
      <c r="G3" s="4">
        <v>7460.9000654458487</v>
      </c>
      <c r="H3" t="s">
        <v>34</v>
      </c>
      <c r="I3">
        <v>53</v>
      </c>
      <c r="J3" t="str" cm="1">
        <f t="array" ref="J3">_xlfn.IFS(supply[[#This Row],[Stocks]]&lt;20,"Low Stock",supply[[#This Row],[Stocks]]&lt;50,"Medium Stock", supply[[#This Row],[Stocks]]&lt;=100, "High Stock")</f>
        <v>High Stock</v>
      </c>
      <c r="K3">
        <v>30</v>
      </c>
      <c r="L3">
        <v>37</v>
      </c>
      <c r="M3">
        <v>2</v>
      </c>
      <c r="N3" t="s">
        <v>35</v>
      </c>
      <c r="O3" s="5">
        <v>9.7165747714313095</v>
      </c>
      <c r="P3" t="s">
        <v>27</v>
      </c>
      <c r="Q3" t="s">
        <v>28</v>
      </c>
      <c r="R3">
        <v>23</v>
      </c>
      <c r="S3">
        <v>517</v>
      </c>
      <c r="T3">
        <v>30</v>
      </c>
      <c r="U3" s="4">
        <v>33.616768953730002</v>
      </c>
      <c r="V3" t="s">
        <v>29</v>
      </c>
      <c r="W3" s="4">
        <v>4.8540680263887062</v>
      </c>
      <c r="X3" t="s">
        <v>30</v>
      </c>
      <c r="Y3" t="s">
        <v>31</v>
      </c>
      <c r="Z3" s="4">
        <v>503.06557914966919</v>
      </c>
    </row>
    <row r="4" spans="1:26" x14ac:dyDescent="0.3">
      <c r="A4" t="s">
        <v>23</v>
      </c>
      <c r="B4" t="s">
        <v>36</v>
      </c>
      <c r="C4" s="3">
        <v>11.319683293090566</v>
      </c>
      <c r="D4">
        <v>34</v>
      </c>
      <c r="E4" t="str" cm="1">
        <f t="array" ref="E4">_xlfn.IFS(supply[[#This Row],[Availability]]&lt;=20,"Low",supply[[#This Row],[Availability]]&lt;=50,"medium",supply[[#This Row],[Availability]]&lt;=100,"High")</f>
        <v>medium</v>
      </c>
      <c r="F4">
        <v>8</v>
      </c>
      <c r="G4" s="4">
        <v>9577.7496258687297</v>
      </c>
      <c r="H4" t="s">
        <v>37</v>
      </c>
      <c r="I4">
        <v>1</v>
      </c>
      <c r="J4" t="str" cm="1">
        <f t="array" ref="J4">_xlfn.IFS(supply[[#This Row],[Stocks]]&lt;20,"Low Stock",supply[[#This Row],[Stocks]]&lt;50,"Medium Stock", supply[[#This Row],[Stocks]]&lt;=100, "High Stock")</f>
        <v>Low Stock</v>
      </c>
      <c r="K4">
        <v>10</v>
      </c>
      <c r="L4">
        <v>88</v>
      </c>
      <c r="M4">
        <v>2</v>
      </c>
      <c r="N4" t="s">
        <v>26</v>
      </c>
      <c r="O4" s="5">
        <v>8.0544792617321548</v>
      </c>
      <c r="P4" t="s">
        <v>38</v>
      </c>
      <c r="Q4" t="s">
        <v>28</v>
      </c>
      <c r="R4">
        <v>12</v>
      </c>
      <c r="S4">
        <v>971</v>
      </c>
      <c r="T4">
        <v>27</v>
      </c>
      <c r="U4" s="4">
        <v>30.688019348284204</v>
      </c>
      <c r="V4" t="s">
        <v>29</v>
      </c>
      <c r="W4" s="4">
        <v>4.580592619199229</v>
      </c>
      <c r="X4" t="s">
        <v>39</v>
      </c>
      <c r="Y4" t="s">
        <v>40</v>
      </c>
      <c r="Z4" s="4">
        <v>141.92028177151906</v>
      </c>
    </row>
    <row r="5" spans="1:26" x14ac:dyDescent="0.3">
      <c r="A5" t="s">
        <v>32</v>
      </c>
      <c r="B5" t="s">
        <v>41</v>
      </c>
      <c r="C5" s="3">
        <v>61.163343016437736</v>
      </c>
      <c r="D5">
        <v>68</v>
      </c>
      <c r="E5" t="str" cm="1">
        <f t="array" ref="E5">_xlfn.IFS(supply[[#This Row],[Availability]]&lt;=20,"Low",supply[[#This Row],[Availability]]&lt;=50,"medium",supply[[#This Row],[Availability]]&lt;=100,"High")</f>
        <v>High</v>
      </c>
      <c r="F5">
        <v>83</v>
      </c>
      <c r="G5" s="4">
        <v>7766.8364256852328</v>
      </c>
      <c r="H5" t="s">
        <v>25</v>
      </c>
      <c r="I5">
        <v>23</v>
      </c>
      <c r="J5" t="str" cm="1">
        <f t="array" ref="J5">_xlfn.IFS(supply[[#This Row],[Stocks]]&lt;20,"Low Stock",supply[[#This Row],[Stocks]]&lt;50,"Medium Stock", supply[[#This Row],[Stocks]]&lt;=100, "High Stock")</f>
        <v>Medium Stock</v>
      </c>
      <c r="K5">
        <v>13</v>
      </c>
      <c r="L5">
        <v>59</v>
      </c>
      <c r="M5">
        <v>6</v>
      </c>
      <c r="N5" t="s">
        <v>42</v>
      </c>
      <c r="O5" s="5">
        <v>1.7295685635434288</v>
      </c>
      <c r="P5" t="s">
        <v>43</v>
      </c>
      <c r="Q5" t="s">
        <v>44</v>
      </c>
      <c r="R5">
        <v>24</v>
      </c>
      <c r="S5">
        <v>937</v>
      </c>
      <c r="T5">
        <v>18</v>
      </c>
      <c r="U5" s="4">
        <v>35.624741397125028</v>
      </c>
      <c r="V5" t="s">
        <v>45</v>
      </c>
      <c r="W5" s="4">
        <v>4.7466486206477496</v>
      </c>
      <c r="X5" t="s">
        <v>46</v>
      </c>
      <c r="Y5" t="s">
        <v>47</v>
      </c>
      <c r="Z5" s="4">
        <v>254.77615921928663</v>
      </c>
    </row>
    <row r="6" spans="1:26" x14ac:dyDescent="0.3">
      <c r="A6" t="s">
        <v>32</v>
      </c>
      <c r="B6" t="s">
        <v>48</v>
      </c>
      <c r="C6" s="3">
        <v>4.8054960363458932</v>
      </c>
      <c r="D6">
        <v>26</v>
      </c>
      <c r="E6" t="str" cm="1">
        <f t="array" ref="E6">_xlfn.IFS(supply[[#This Row],[Availability]]&lt;=20,"Low",supply[[#This Row],[Availability]]&lt;=50,"medium",supply[[#This Row],[Availability]]&lt;=100,"High")</f>
        <v>medium</v>
      </c>
      <c r="F6">
        <v>871</v>
      </c>
      <c r="G6" s="4">
        <v>2686.5051515674468</v>
      </c>
      <c r="H6" t="s">
        <v>25</v>
      </c>
      <c r="I6">
        <v>5</v>
      </c>
      <c r="J6" t="str" cm="1">
        <f t="array" ref="J6">_xlfn.IFS(supply[[#This Row],[Stocks]]&lt;20,"Low Stock",supply[[#This Row],[Stocks]]&lt;50,"Medium Stock", supply[[#This Row],[Stocks]]&lt;=100, "High Stock")</f>
        <v>Low Stock</v>
      </c>
      <c r="K6">
        <v>3</v>
      </c>
      <c r="L6">
        <v>56</v>
      </c>
      <c r="M6">
        <v>8</v>
      </c>
      <c r="N6" t="s">
        <v>35</v>
      </c>
      <c r="O6" s="5">
        <v>3.8905479158706715</v>
      </c>
      <c r="P6" t="s">
        <v>38</v>
      </c>
      <c r="Q6" t="s">
        <v>49</v>
      </c>
      <c r="R6">
        <v>5</v>
      </c>
      <c r="S6">
        <v>414</v>
      </c>
      <c r="T6">
        <v>3</v>
      </c>
      <c r="U6" s="4">
        <v>92.065160598712851</v>
      </c>
      <c r="V6" t="s">
        <v>45</v>
      </c>
      <c r="W6" s="4">
        <v>3.1455795228330019</v>
      </c>
      <c r="X6" t="s">
        <v>39</v>
      </c>
      <c r="Y6" t="s">
        <v>47</v>
      </c>
      <c r="Z6" s="4">
        <v>923.44063171192215</v>
      </c>
    </row>
    <row r="7" spans="1:26" x14ac:dyDescent="0.3">
      <c r="A7" t="s">
        <v>23</v>
      </c>
      <c r="B7" t="s">
        <v>50</v>
      </c>
      <c r="C7" s="3">
        <v>1.6999760138659377</v>
      </c>
      <c r="D7">
        <v>87</v>
      </c>
      <c r="E7" t="str" cm="1">
        <f t="array" ref="E7">_xlfn.IFS(supply[[#This Row],[Availability]]&lt;=20,"Low",supply[[#This Row],[Availability]]&lt;=50,"medium",supply[[#This Row],[Availability]]&lt;=100,"High")</f>
        <v>High</v>
      </c>
      <c r="F7">
        <v>147</v>
      </c>
      <c r="G7" s="4">
        <v>2828.3487459757589</v>
      </c>
      <c r="H7" t="s">
        <v>25</v>
      </c>
      <c r="I7">
        <v>90</v>
      </c>
      <c r="J7" t="str" cm="1">
        <f t="array" ref="J7">_xlfn.IFS(supply[[#This Row],[Stocks]]&lt;20,"Low Stock",supply[[#This Row],[Stocks]]&lt;50,"Medium Stock", supply[[#This Row],[Stocks]]&lt;=100, "High Stock")</f>
        <v>High Stock</v>
      </c>
      <c r="K7">
        <v>27</v>
      </c>
      <c r="L7">
        <v>66</v>
      </c>
      <c r="M7">
        <v>3</v>
      </c>
      <c r="N7" t="s">
        <v>26</v>
      </c>
      <c r="O7" s="5">
        <v>4.4440988643822932</v>
      </c>
      <c r="P7" t="s">
        <v>51</v>
      </c>
      <c r="Q7" t="s">
        <v>52</v>
      </c>
      <c r="R7">
        <v>10</v>
      </c>
      <c r="S7">
        <v>104</v>
      </c>
      <c r="T7">
        <v>17</v>
      </c>
      <c r="U7" s="4">
        <v>56.766475557431797</v>
      </c>
      <c r="V7" t="s">
        <v>45</v>
      </c>
      <c r="W7" s="4">
        <v>2.7791935115711617</v>
      </c>
      <c r="X7" t="s">
        <v>30</v>
      </c>
      <c r="Y7" t="s">
        <v>47</v>
      </c>
      <c r="Z7" s="4">
        <v>235.46123673553751</v>
      </c>
    </row>
    <row r="8" spans="1:26" x14ac:dyDescent="0.3">
      <c r="A8" t="s">
        <v>32</v>
      </c>
      <c r="B8" t="s">
        <v>53</v>
      </c>
      <c r="C8" s="3">
        <v>4.0783328631079447</v>
      </c>
      <c r="D8">
        <v>48</v>
      </c>
      <c r="E8" t="str" cm="1">
        <f t="array" ref="E8">_xlfn.IFS(supply[[#This Row],[Availability]]&lt;=20,"Low",supply[[#This Row],[Availability]]&lt;=50,"medium",supply[[#This Row],[Availability]]&lt;=100,"High")</f>
        <v>medium</v>
      </c>
      <c r="F8">
        <v>65</v>
      </c>
      <c r="G8" s="4">
        <v>7823.4765595317367</v>
      </c>
      <c r="H8" t="s">
        <v>54</v>
      </c>
      <c r="I8">
        <v>11</v>
      </c>
      <c r="J8" t="str" cm="1">
        <f t="array" ref="J8">_xlfn.IFS(supply[[#This Row],[Stocks]]&lt;20,"Low Stock",supply[[#This Row],[Stocks]]&lt;50,"Medium Stock", supply[[#This Row],[Stocks]]&lt;=100, "High Stock")</f>
        <v>Low Stock</v>
      </c>
      <c r="K8">
        <v>15</v>
      </c>
      <c r="L8">
        <v>58</v>
      </c>
      <c r="M8">
        <v>8</v>
      </c>
      <c r="N8" t="s">
        <v>42</v>
      </c>
      <c r="O8" s="5">
        <v>3.8807633029520034</v>
      </c>
      <c r="P8" t="s">
        <v>27</v>
      </c>
      <c r="Q8" t="s">
        <v>44</v>
      </c>
      <c r="R8">
        <v>14</v>
      </c>
      <c r="S8">
        <v>314</v>
      </c>
      <c r="T8">
        <v>24</v>
      </c>
      <c r="U8" s="4">
        <v>1.0850685695870688</v>
      </c>
      <c r="V8" t="s">
        <v>29</v>
      </c>
      <c r="W8" s="4">
        <v>1.0009106193041357</v>
      </c>
      <c r="X8" t="s">
        <v>55</v>
      </c>
      <c r="Y8" t="s">
        <v>47</v>
      </c>
      <c r="Z8" s="4">
        <v>134.36909686103172</v>
      </c>
    </row>
    <row r="9" spans="1:26" x14ac:dyDescent="0.3">
      <c r="A9" t="s">
        <v>56</v>
      </c>
      <c r="B9" t="s">
        <v>57</v>
      </c>
      <c r="C9" s="3">
        <v>42.958384382460068</v>
      </c>
      <c r="D9">
        <v>59</v>
      </c>
      <c r="E9" t="str" cm="1">
        <f t="array" ref="E9">_xlfn.IFS(supply[[#This Row],[Availability]]&lt;=20,"Low",supply[[#This Row],[Availability]]&lt;=50,"medium",supply[[#This Row],[Availability]]&lt;=100,"High")</f>
        <v>High</v>
      </c>
      <c r="F9">
        <v>426</v>
      </c>
      <c r="G9" s="4">
        <v>8496.1038130898378</v>
      </c>
      <c r="H9" t="s">
        <v>34</v>
      </c>
      <c r="I9">
        <v>93</v>
      </c>
      <c r="J9" t="str" cm="1">
        <f t="array" ref="J9">_xlfn.IFS(supply[[#This Row],[Stocks]]&lt;20,"Low Stock",supply[[#This Row],[Stocks]]&lt;50,"Medium Stock", supply[[#This Row],[Stocks]]&lt;=100, "High Stock")</f>
        <v>High Stock</v>
      </c>
      <c r="K9">
        <v>17</v>
      </c>
      <c r="L9">
        <v>11</v>
      </c>
      <c r="M9">
        <v>1</v>
      </c>
      <c r="N9" t="s">
        <v>26</v>
      </c>
      <c r="O9" s="5">
        <v>2.3483387844177805</v>
      </c>
      <c r="P9" t="s">
        <v>51</v>
      </c>
      <c r="Q9" t="s">
        <v>52</v>
      </c>
      <c r="R9">
        <v>22</v>
      </c>
      <c r="S9">
        <v>564</v>
      </c>
      <c r="T9">
        <v>1</v>
      </c>
      <c r="U9" s="4">
        <v>99.466108603599125</v>
      </c>
      <c r="V9" t="s">
        <v>45</v>
      </c>
      <c r="W9" s="4">
        <v>0.39817718685065062</v>
      </c>
      <c r="X9" t="s">
        <v>30</v>
      </c>
      <c r="Y9" t="s">
        <v>40</v>
      </c>
      <c r="Z9" s="4">
        <v>802.05631181755859</v>
      </c>
    </row>
    <row r="10" spans="1:26" x14ac:dyDescent="0.3">
      <c r="A10" t="s">
        <v>56</v>
      </c>
      <c r="B10" t="s">
        <v>58</v>
      </c>
      <c r="C10" s="3">
        <v>68.717596748527328</v>
      </c>
      <c r="D10">
        <v>78</v>
      </c>
      <c r="E10" t="str" cm="1">
        <f t="array" ref="E10">_xlfn.IFS(supply[[#This Row],[Availability]]&lt;=20,"Low",supply[[#This Row],[Availability]]&lt;=50,"medium",supply[[#This Row],[Availability]]&lt;=100,"High")</f>
        <v>High</v>
      </c>
      <c r="F10">
        <v>150</v>
      </c>
      <c r="G10" s="4">
        <v>7517.363210631127</v>
      </c>
      <c r="H10" t="s">
        <v>34</v>
      </c>
      <c r="I10">
        <v>5</v>
      </c>
      <c r="J10" t="str" cm="1">
        <f t="array" ref="J10">_xlfn.IFS(supply[[#This Row],[Stocks]]&lt;20,"Low Stock",supply[[#This Row],[Stocks]]&lt;50,"Medium Stock", supply[[#This Row],[Stocks]]&lt;=100, "High Stock")</f>
        <v>Low Stock</v>
      </c>
      <c r="K10">
        <v>10</v>
      </c>
      <c r="L10">
        <v>15</v>
      </c>
      <c r="M10">
        <v>7</v>
      </c>
      <c r="N10" t="s">
        <v>42</v>
      </c>
      <c r="O10" s="5">
        <v>3.4047338570830266</v>
      </c>
      <c r="P10" t="s">
        <v>51</v>
      </c>
      <c r="Q10" t="s">
        <v>28</v>
      </c>
      <c r="R10">
        <v>13</v>
      </c>
      <c r="S10">
        <v>769</v>
      </c>
      <c r="T10">
        <v>8</v>
      </c>
      <c r="U10" s="4">
        <v>11.423027139565695</v>
      </c>
      <c r="V10" t="s">
        <v>29</v>
      </c>
      <c r="W10" s="4">
        <v>2.7098626911099615</v>
      </c>
      <c r="X10" t="s">
        <v>55</v>
      </c>
      <c r="Y10" t="s">
        <v>31</v>
      </c>
      <c r="Z10" s="4">
        <v>505.55713422546415</v>
      </c>
    </row>
    <row r="11" spans="1:26" x14ac:dyDescent="0.3">
      <c r="A11" t="s">
        <v>32</v>
      </c>
      <c r="B11" t="s">
        <v>59</v>
      </c>
      <c r="C11" s="3">
        <v>64.015732941278543</v>
      </c>
      <c r="D11">
        <v>35</v>
      </c>
      <c r="E11" t="str" cm="1">
        <f t="array" ref="E11">_xlfn.IFS(supply[[#This Row],[Availability]]&lt;=20,"Low",supply[[#This Row],[Availability]]&lt;=50,"medium",supply[[#This Row],[Availability]]&lt;=100,"High")</f>
        <v>medium</v>
      </c>
      <c r="F11">
        <v>980</v>
      </c>
      <c r="G11" s="4">
        <v>4971.145987585558</v>
      </c>
      <c r="H11" t="s">
        <v>37</v>
      </c>
      <c r="I11">
        <v>14</v>
      </c>
      <c r="J11" t="str" cm="1">
        <f t="array" ref="J11">_xlfn.IFS(supply[[#This Row],[Stocks]]&lt;20,"Low Stock",supply[[#This Row],[Stocks]]&lt;50,"Medium Stock", supply[[#This Row],[Stocks]]&lt;=100, "High Stock")</f>
        <v>Low Stock</v>
      </c>
      <c r="K11">
        <v>27</v>
      </c>
      <c r="L11">
        <v>83</v>
      </c>
      <c r="M11">
        <v>1</v>
      </c>
      <c r="N11" t="s">
        <v>35</v>
      </c>
      <c r="O11" s="5">
        <v>7.1666452910482157</v>
      </c>
      <c r="P11" t="s">
        <v>60</v>
      </c>
      <c r="Q11" t="s">
        <v>61</v>
      </c>
      <c r="R11">
        <v>29</v>
      </c>
      <c r="S11">
        <v>963</v>
      </c>
      <c r="T11">
        <v>23</v>
      </c>
      <c r="U11" s="4">
        <v>47.95760163495158</v>
      </c>
      <c r="V11" t="s">
        <v>29</v>
      </c>
      <c r="W11" s="4">
        <v>3.8446144787675851</v>
      </c>
      <c r="X11" t="s">
        <v>46</v>
      </c>
      <c r="Y11" t="s">
        <v>31</v>
      </c>
      <c r="Z11" s="4">
        <v>995.92946149864167</v>
      </c>
    </row>
    <row r="12" spans="1:26" x14ac:dyDescent="0.3">
      <c r="A12" t="s">
        <v>32</v>
      </c>
      <c r="B12" t="s">
        <v>62</v>
      </c>
      <c r="C12" s="3">
        <v>15.707795681912138</v>
      </c>
      <c r="D12">
        <v>11</v>
      </c>
      <c r="E12" t="str" cm="1">
        <f t="array" ref="E12">_xlfn.IFS(supply[[#This Row],[Availability]]&lt;=20,"Low",supply[[#This Row],[Availability]]&lt;=50,"medium",supply[[#This Row],[Availability]]&lt;=100,"High")</f>
        <v>Low</v>
      </c>
      <c r="F12">
        <v>996</v>
      </c>
      <c r="G12" s="4">
        <v>2330.9658020919492</v>
      </c>
      <c r="H12" t="s">
        <v>25</v>
      </c>
      <c r="I12">
        <v>51</v>
      </c>
      <c r="J12" t="str" cm="1">
        <f t="array" ref="J12">_xlfn.IFS(supply[[#This Row],[Stocks]]&lt;20,"Low Stock",supply[[#This Row],[Stocks]]&lt;50,"Medium Stock", supply[[#This Row],[Stocks]]&lt;=100, "High Stock")</f>
        <v>High Stock</v>
      </c>
      <c r="K12">
        <v>13</v>
      </c>
      <c r="L12">
        <v>80</v>
      </c>
      <c r="M12">
        <v>2</v>
      </c>
      <c r="N12" t="s">
        <v>42</v>
      </c>
      <c r="O12" s="5">
        <v>8.6732112112786126</v>
      </c>
      <c r="P12" t="s">
        <v>43</v>
      </c>
      <c r="Q12" t="s">
        <v>44</v>
      </c>
      <c r="R12">
        <v>18</v>
      </c>
      <c r="S12">
        <v>830</v>
      </c>
      <c r="T12">
        <v>5</v>
      </c>
      <c r="U12" s="4">
        <v>96.52735278531091</v>
      </c>
      <c r="V12" t="s">
        <v>63</v>
      </c>
      <c r="W12" s="4">
        <v>1.7273139283559424</v>
      </c>
      <c r="X12" t="s">
        <v>30</v>
      </c>
      <c r="Y12" t="s">
        <v>31</v>
      </c>
      <c r="Z12" s="4">
        <v>806.10317770292295</v>
      </c>
    </row>
    <row r="13" spans="1:26" x14ac:dyDescent="0.3">
      <c r="A13" t="s">
        <v>32</v>
      </c>
      <c r="B13" t="s">
        <v>64</v>
      </c>
      <c r="C13" s="3">
        <v>90.635459982288666</v>
      </c>
      <c r="D13">
        <v>95</v>
      </c>
      <c r="E13" t="str" cm="1">
        <f t="array" ref="E13">_xlfn.IFS(supply[[#This Row],[Availability]]&lt;=20,"Low",supply[[#This Row],[Availability]]&lt;=50,"medium",supply[[#This Row],[Availability]]&lt;=100,"High")</f>
        <v>High</v>
      </c>
      <c r="F13">
        <v>960</v>
      </c>
      <c r="G13" s="4">
        <v>6099.944115581452</v>
      </c>
      <c r="H13" t="s">
        <v>34</v>
      </c>
      <c r="I13">
        <v>46</v>
      </c>
      <c r="J13" t="str" cm="1">
        <f t="array" ref="J13">_xlfn.IFS(supply[[#This Row],[Stocks]]&lt;20,"Low Stock",supply[[#This Row],[Stocks]]&lt;50,"Medium Stock", supply[[#This Row],[Stocks]]&lt;=100, "High Stock")</f>
        <v>Medium Stock</v>
      </c>
      <c r="K13">
        <v>23</v>
      </c>
      <c r="L13">
        <v>60</v>
      </c>
      <c r="M13">
        <v>1</v>
      </c>
      <c r="N13" t="s">
        <v>35</v>
      </c>
      <c r="O13" s="5">
        <v>4.5239431243166628</v>
      </c>
      <c r="P13" t="s">
        <v>60</v>
      </c>
      <c r="Q13" t="s">
        <v>44</v>
      </c>
      <c r="R13">
        <v>28</v>
      </c>
      <c r="S13">
        <v>362</v>
      </c>
      <c r="T13">
        <v>11</v>
      </c>
      <c r="U13" s="4">
        <v>27.592363086663696</v>
      </c>
      <c r="V13" t="s">
        <v>29</v>
      </c>
      <c r="W13" s="4">
        <v>2.1169821372994391E-2</v>
      </c>
      <c r="X13" t="s">
        <v>39</v>
      </c>
      <c r="Y13" t="s">
        <v>47</v>
      </c>
      <c r="Z13" s="4">
        <v>126.72303340940725</v>
      </c>
    </row>
    <row r="14" spans="1:26" x14ac:dyDescent="0.3">
      <c r="A14" t="s">
        <v>23</v>
      </c>
      <c r="B14" t="s">
        <v>65</v>
      </c>
      <c r="C14" s="3">
        <v>71.213389075360084</v>
      </c>
      <c r="D14">
        <v>41</v>
      </c>
      <c r="E14" t="str" cm="1">
        <f t="array" ref="E14">_xlfn.IFS(supply[[#This Row],[Availability]]&lt;=20,"Low",supply[[#This Row],[Availability]]&lt;=50,"medium",supply[[#This Row],[Availability]]&lt;=100,"High")</f>
        <v>medium</v>
      </c>
      <c r="F14">
        <v>336</v>
      </c>
      <c r="G14" s="4">
        <v>2873.7414460214413</v>
      </c>
      <c r="H14" t="s">
        <v>37</v>
      </c>
      <c r="I14">
        <v>100</v>
      </c>
      <c r="J14" t="str" cm="1">
        <f t="array" ref="J14">_xlfn.IFS(supply[[#This Row],[Stocks]]&lt;20,"Low Stock",supply[[#This Row],[Stocks]]&lt;50,"Medium Stock", supply[[#This Row],[Stocks]]&lt;=100, "High Stock")</f>
        <v>High Stock</v>
      </c>
      <c r="K14">
        <v>30</v>
      </c>
      <c r="L14">
        <v>85</v>
      </c>
      <c r="M14">
        <v>4</v>
      </c>
      <c r="N14" t="s">
        <v>35</v>
      </c>
      <c r="O14" s="5">
        <v>1.325274010184522</v>
      </c>
      <c r="P14" t="s">
        <v>51</v>
      </c>
      <c r="Q14" t="s">
        <v>44</v>
      </c>
      <c r="R14">
        <v>3</v>
      </c>
      <c r="S14">
        <v>563</v>
      </c>
      <c r="T14">
        <v>3</v>
      </c>
      <c r="U14" s="4">
        <v>32.321286213424031</v>
      </c>
      <c r="V14" t="s">
        <v>45</v>
      </c>
      <c r="W14" s="4">
        <v>2.1612537475559117</v>
      </c>
      <c r="X14" t="s">
        <v>30</v>
      </c>
      <c r="Y14" t="s">
        <v>31</v>
      </c>
      <c r="Z14" s="4">
        <v>402.96878907377061</v>
      </c>
    </row>
    <row r="15" spans="1:26" x14ac:dyDescent="0.3">
      <c r="A15" t="s">
        <v>32</v>
      </c>
      <c r="B15" t="s">
        <v>66</v>
      </c>
      <c r="C15" s="3">
        <v>16.160393317379977</v>
      </c>
      <c r="D15">
        <v>5</v>
      </c>
      <c r="E15" t="str" cm="1">
        <f t="array" ref="E15">_xlfn.IFS(supply[[#This Row],[Availability]]&lt;=20,"Low",supply[[#This Row],[Availability]]&lt;=50,"medium",supply[[#This Row],[Availability]]&lt;=100,"High")</f>
        <v>Low</v>
      </c>
      <c r="F15">
        <v>249</v>
      </c>
      <c r="G15" s="4">
        <v>4052.7384162378667</v>
      </c>
      <c r="H15" t="s">
        <v>54</v>
      </c>
      <c r="I15">
        <v>80</v>
      </c>
      <c r="J15" t="str" cm="1">
        <f t="array" ref="J15">_xlfn.IFS(supply[[#This Row],[Stocks]]&lt;20,"Low Stock",supply[[#This Row],[Stocks]]&lt;50,"Medium Stock", supply[[#This Row],[Stocks]]&lt;=100, "High Stock")</f>
        <v>High Stock</v>
      </c>
      <c r="K15">
        <v>8</v>
      </c>
      <c r="L15">
        <v>48</v>
      </c>
      <c r="M15">
        <v>9</v>
      </c>
      <c r="N15" t="s">
        <v>35</v>
      </c>
      <c r="O15" s="5">
        <v>9.5372830611083383</v>
      </c>
      <c r="P15" t="s">
        <v>43</v>
      </c>
      <c r="Q15" t="s">
        <v>52</v>
      </c>
      <c r="R15">
        <v>23</v>
      </c>
      <c r="S15">
        <v>173</v>
      </c>
      <c r="T15">
        <v>10</v>
      </c>
      <c r="U15" s="4">
        <v>97.82905011017327</v>
      </c>
      <c r="V15" t="s">
        <v>29</v>
      </c>
      <c r="W15" s="4">
        <v>1.6310742300715386</v>
      </c>
      <c r="X15" t="s">
        <v>30</v>
      </c>
      <c r="Y15" t="s">
        <v>31</v>
      </c>
      <c r="Z15" s="4">
        <v>547.24100516096848</v>
      </c>
    </row>
    <row r="16" spans="1:26" x14ac:dyDescent="0.3">
      <c r="A16" t="s">
        <v>32</v>
      </c>
      <c r="B16" t="s">
        <v>67</v>
      </c>
      <c r="C16" s="3">
        <v>99.171328638624189</v>
      </c>
      <c r="D16">
        <v>26</v>
      </c>
      <c r="E16" t="str" cm="1">
        <f t="array" ref="E16">_xlfn.IFS(supply[[#This Row],[Availability]]&lt;=20,"Low",supply[[#This Row],[Availability]]&lt;=50,"medium",supply[[#This Row],[Availability]]&lt;=100,"High")</f>
        <v>medium</v>
      </c>
      <c r="F16">
        <v>562</v>
      </c>
      <c r="G16" s="4">
        <v>8653.5709264698016</v>
      </c>
      <c r="H16" t="s">
        <v>25</v>
      </c>
      <c r="I16">
        <v>54</v>
      </c>
      <c r="J16" t="str" cm="1">
        <f t="array" ref="J16">_xlfn.IFS(supply[[#This Row],[Stocks]]&lt;20,"Low Stock",supply[[#This Row],[Stocks]]&lt;50,"Medium Stock", supply[[#This Row],[Stocks]]&lt;=100, "High Stock")</f>
        <v>High Stock</v>
      </c>
      <c r="K16">
        <v>29</v>
      </c>
      <c r="L16">
        <v>78</v>
      </c>
      <c r="M16">
        <v>5</v>
      </c>
      <c r="N16" t="s">
        <v>26</v>
      </c>
      <c r="O16" s="5">
        <v>2.0397701894493316</v>
      </c>
      <c r="P16" t="s">
        <v>38</v>
      </c>
      <c r="Q16" t="s">
        <v>44</v>
      </c>
      <c r="R16">
        <v>25</v>
      </c>
      <c r="S16">
        <v>558</v>
      </c>
      <c r="T16">
        <v>14</v>
      </c>
      <c r="U16" s="4">
        <v>5.7914366298629893</v>
      </c>
      <c r="V16" t="s">
        <v>29</v>
      </c>
      <c r="W16" s="4">
        <v>0.10068285156509371</v>
      </c>
      <c r="X16" t="s">
        <v>39</v>
      </c>
      <c r="Y16" t="s">
        <v>31</v>
      </c>
      <c r="Z16" s="4">
        <v>929.23528996088965</v>
      </c>
    </row>
    <row r="17" spans="1:26" x14ac:dyDescent="0.3">
      <c r="A17" t="s">
        <v>32</v>
      </c>
      <c r="B17" t="s">
        <v>68</v>
      </c>
      <c r="C17" s="3">
        <v>36.98924492862691</v>
      </c>
      <c r="D17">
        <v>94</v>
      </c>
      <c r="E17" t="str" cm="1">
        <f t="array" ref="E17">_xlfn.IFS(supply[[#This Row],[Availability]]&lt;=20,"Low",supply[[#This Row],[Availability]]&lt;=50,"medium",supply[[#This Row],[Availability]]&lt;=100,"High")</f>
        <v>High</v>
      </c>
      <c r="F17">
        <v>469</v>
      </c>
      <c r="G17" s="4">
        <v>5442.0867853976733</v>
      </c>
      <c r="H17" t="s">
        <v>25</v>
      </c>
      <c r="I17">
        <v>9</v>
      </c>
      <c r="J17" t="str" cm="1">
        <f t="array" ref="J17">_xlfn.IFS(supply[[#This Row],[Stocks]]&lt;20,"Low Stock",supply[[#This Row],[Stocks]]&lt;50,"Medium Stock", supply[[#This Row],[Stocks]]&lt;=100, "High Stock")</f>
        <v>Low Stock</v>
      </c>
      <c r="K17">
        <v>8</v>
      </c>
      <c r="L17">
        <v>69</v>
      </c>
      <c r="M17">
        <v>7</v>
      </c>
      <c r="N17" t="s">
        <v>26</v>
      </c>
      <c r="O17" s="5">
        <v>2.4220397232752044</v>
      </c>
      <c r="P17" t="s">
        <v>38</v>
      </c>
      <c r="Q17" t="s">
        <v>52</v>
      </c>
      <c r="R17">
        <v>14</v>
      </c>
      <c r="S17">
        <v>580</v>
      </c>
      <c r="T17">
        <v>7</v>
      </c>
      <c r="U17" s="4">
        <v>97.121281751474314</v>
      </c>
      <c r="V17" t="s">
        <v>63</v>
      </c>
      <c r="W17" s="4">
        <v>2.2644057611985491</v>
      </c>
      <c r="X17" t="s">
        <v>55</v>
      </c>
      <c r="Y17" t="s">
        <v>31</v>
      </c>
      <c r="Z17" s="4">
        <v>127.86180000162541</v>
      </c>
    </row>
    <row r="18" spans="1:26" x14ac:dyDescent="0.3">
      <c r="A18" t="s">
        <v>32</v>
      </c>
      <c r="B18" t="s">
        <v>69</v>
      </c>
      <c r="C18" s="3">
        <v>7.5471721097912718</v>
      </c>
      <c r="D18">
        <v>74</v>
      </c>
      <c r="E18" t="str" cm="1">
        <f t="array" ref="E18">_xlfn.IFS(supply[[#This Row],[Availability]]&lt;=20,"Low",supply[[#This Row],[Availability]]&lt;=50,"medium",supply[[#This Row],[Availability]]&lt;=100,"High")</f>
        <v>High</v>
      </c>
      <c r="F18">
        <v>280</v>
      </c>
      <c r="G18" s="4">
        <v>6453.7979681762854</v>
      </c>
      <c r="H18" t="s">
        <v>34</v>
      </c>
      <c r="I18">
        <v>2</v>
      </c>
      <c r="J18" t="str" cm="1">
        <f t="array" ref="J18">_xlfn.IFS(supply[[#This Row],[Stocks]]&lt;20,"Low Stock",supply[[#This Row],[Stocks]]&lt;50,"Medium Stock", supply[[#This Row],[Stocks]]&lt;=100, "High Stock")</f>
        <v>Low Stock</v>
      </c>
      <c r="K18">
        <v>5</v>
      </c>
      <c r="L18">
        <v>78</v>
      </c>
      <c r="M18">
        <v>1</v>
      </c>
      <c r="N18" t="s">
        <v>26</v>
      </c>
      <c r="O18" s="5">
        <v>4.1913245857055017</v>
      </c>
      <c r="P18" t="s">
        <v>38</v>
      </c>
      <c r="Q18" t="s">
        <v>52</v>
      </c>
      <c r="R18">
        <v>3</v>
      </c>
      <c r="S18">
        <v>399</v>
      </c>
      <c r="T18">
        <v>21</v>
      </c>
      <c r="U18" s="4">
        <v>77.106342497850008</v>
      </c>
      <c r="V18" t="s">
        <v>63</v>
      </c>
      <c r="W18" s="4">
        <v>1.0125630892580491</v>
      </c>
      <c r="X18" t="s">
        <v>39</v>
      </c>
      <c r="Y18" t="s">
        <v>47</v>
      </c>
      <c r="Z18" s="4">
        <v>865.52577977124031</v>
      </c>
    </row>
    <row r="19" spans="1:26" x14ac:dyDescent="0.3">
      <c r="A19" t="s">
        <v>56</v>
      </c>
      <c r="B19" t="s">
        <v>70</v>
      </c>
      <c r="C19" s="3">
        <v>81.462534369237019</v>
      </c>
      <c r="D19">
        <v>82</v>
      </c>
      <c r="E19" t="str" cm="1">
        <f t="array" ref="E19">_xlfn.IFS(supply[[#This Row],[Availability]]&lt;=20,"Low",supply[[#This Row],[Availability]]&lt;=50,"medium",supply[[#This Row],[Availability]]&lt;=100,"High")</f>
        <v>High</v>
      </c>
      <c r="F19">
        <v>126</v>
      </c>
      <c r="G19" s="4">
        <v>2629.3964348452619</v>
      </c>
      <c r="H19" t="s">
        <v>34</v>
      </c>
      <c r="I19">
        <v>45</v>
      </c>
      <c r="J19" t="str" cm="1">
        <f t="array" ref="J19">_xlfn.IFS(supply[[#This Row],[Stocks]]&lt;20,"Low Stock",supply[[#This Row],[Stocks]]&lt;50,"Medium Stock", supply[[#This Row],[Stocks]]&lt;=100, "High Stock")</f>
        <v>Medium Stock</v>
      </c>
      <c r="K19">
        <v>17</v>
      </c>
      <c r="L19">
        <v>85</v>
      </c>
      <c r="M19">
        <v>9</v>
      </c>
      <c r="N19" t="s">
        <v>42</v>
      </c>
      <c r="O19" s="5">
        <v>3.5854189582323421</v>
      </c>
      <c r="P19" t="s">
        <v>38</v>
      </c>
      <c r="Q19" t="s">
        <v>61</v>
      </c>
      <c r="R19">
        <v>7</v>
      </c>
      <c r="S19">
        <v>453</v>
      </c>
      <c r="T19">
        <v>16</v>
      </c>
      <c r="U19" s="4">
        <v>47.679680368355335</v>
      </c>
      <c r="V19" t="s">
        <v>45</v>
      </c>
      <c r="W19" s="4">
        <v>0.10202075491817619</v>
      </c>
      <c r="X19" t="s">
        <v>39</v>
      </c>
      <c r="Y19" t="s">
        <v>40</v>
      </c>
      <c r="Z19" s="4">
        <v>670.93439079241034</v>
      </c>
    </row>
    <row r="20" spans="1:26" x14ac:dyDescent="0.3">
      <c r="A20" t="s">
        <v>23</v>
      </c>
      <c r="B20" t="s">
        <v>71</v>
      </c>
      <c r="C20" s="3">
        <v>36.443627770460935</v>
      </c>
      <c r="D20">
        <v>23</v>
      </c>
      <c r="E20" t="str" cm="1">
        <f t="array" ref="E20">_xlfn.IFS(supply[[#This Row],[Availability]]&lt;=20,"Low",supply[[#This Row],[Availability]]&lt;=50,"medium",supply[[#This Row],[Availability]]&lt;=100,"High")</f>
        <v>medium</v>
      </c>
      <c r="F20">
        <v>620</v>
      </c>
      <c r="G20" s="4">
        <v>9364.6735050761727</v>
      </c>
      <c r="H20" t="s">
        <v>37</v>
      </c>
      <c r="I20">
        <v>10</v>
      </c>
      <c r="J20" t="str" cm="1">
        <f t="array" ref="J20">_xlfn.IFS(supply[[#This Row],[Stocks]]&lt;20,"Low Stock",supply[[#This Row],[Stocks]]&lt;50,"Medium Stock", supply[[#This Row],[Stocks]]&lt;=100, "High Stock")</f>
        <v>Low Stock</v>
      </c>
      <c r="K20">
        <v>10</v>
      </c>
      <c r="L20">
        <v>46</v>
      </c>
      <c r="M20">
        <v>8</v>
      </c>
      <c r="N20" t="s">
        <v>42</v>
      </c>
      <c r="O20" s="5">
        <v>4.339224714110709</v>
      </c>
      <c r="P20" t="s">
        <v>60</v>
      </c>
      <c r="Q20" t="s">
        <v>44</v>
      </c>
      <c r="R20">
        <v>18</v>
      </c>
      <c r="S20">
        <v>374</v>
      </c>
      <c r="T20">
        <v>17</v>
      </c>
      <c r="U20" s="4">
        <v>27.10798085484392</v>
      </c>
      <c r="V20" t="s">
        <v>29</v>
      </c>
      <c r="W20" s="4">
        <v>2.2319391107292637</v>
      </c>
      <c r="X20" t="s">
        <v>55</v>
      </c>
      <c r="Y20" t="s">
        <v>47</v>
      </c>
      <c r="Z20" s="4">
        <v>593.48025872065182</v>
      </c>
    </row>
    <row r="21" spans="1:26" x14ac:dyDescent="0.3">
      <c r="A21" t="s">
        <v>32</v>
      </c>
      <c r="B21" t="s">
        <v>72</v>
      </c>
      <c r="C21" s="3">
        <v>51.12387008796474</v>
      </c>
      <c r="D21">
        <v>100</v>
      </c>
      <c r="E21" t="str" cm="1">
        <f t="array" ref="E21">_xlfn.IFS(supply[[#This Row],[Availability]]&lt;=20,"Low",supply[[#This Row],[Availability]]&lt;=50,"medium",supply[[#This Row],[Availability]]&lt;=100,"High")</f>
        <v>High</v>
      </c>
      <c r="F21">
        <v>187</v>
      </c>
      <c r="G21" s="4">
        <v>2553.4955849912149</v>
      </c>
      <c r="H21" t="s">
        <v>37</v>
      </c>
      <c r="I21">
        <v>48</v>
      </c>
      <c r="J21" t="str" cm="1">
        <f t="array" ref="J21">_xlfn.IFS(supply[[#This Row],[Stocks]]&lt;20,"Low Stock",supply[[#This Row],[Stocks]]&lt;50,"Medium Stock", supply[[#This Row],[Stocks]]&lt;=100, "High Stock")</f>
        <v>Medium Stock</v>
      </c>
      <c r="K21">
        <v>11</v>
      </c>
      <c r="L21">
        <v>94</v>
      </c>
      <c r="M21">
        <v>3</v>
      </c>
      <c r="N21" t="s">
        <v>35</v>
      </c>
      <c r="O21" s="5">
        <v>4.7426358828418769</v>
      </c>
      <c r="P21" t="s">
        <v>51</v>
      </c>
      <c r="Q21" t="s">
        <v>61</v>
      </c>
      <c r="R21">
        <v>20</v>
      </c>
      <c r="S21">
        <v>694</v>
      </c>
      <c r="T21">
        <v>16</v>
      </c>
      <c r="U21" s="4">
        <v>82.373320587990207</v>
      </c>
      <c r="V21" t="s">
        <v>45</v>
      </c>
      <c r="W21" s="4">
        <v>3.6464508654170293</v>
      </c>
      <c r="X21" t="s">
        <v>30</v>
      </c>
      <c r="Y21" t="s">
        <v>40</v>
      </c>
      <c r="Z21" s="4">
        <v>477.30763109090344</v>
      </c>
    </row>
    <row r="22" spans="1:26" x14ac:dyDescent="0.3">
      <c r="A22" t="s">
        <v>32</v>
      </c>
      <c r="B22" t="s">
        <v>73</v>
      </c>
      <c r="C22" s="3">
        <v>96.341072439963384</v>
      </c>
      <c r="D22">
        <v>22</v>
      </c>
      <c r="E22" t="str" cm="1">
        <f t="array" ref="E22">_xlfn.IFS(supply[[#This Row],[Availability]]&lt;=20,"Low",supply[[#This Row],[Availability]]&lt;=50,"medium",supply[[#This Row],[Availability]]&lt;=100,"High")</f>
        <v>medium</v>
      </c>
      <c r="F22">
        <v>320</v>
      </c>
      <c r="G22" s="4">
        <v>8128.0276968511916</v>
      </c>
      <c r="H22" t="s">
        <v>37</v>
      </c>
      <c r="I22">
        <v>27</v>
      </c>
      <c r="J22" t="str" cm="1">
        <f t="array" ref="J22">_xlfn.IFS(supply[[#This Row],[Stocks]]&lt;20,"Low Stock",supply[[#This Row],[Stocks]]&lt;50,"Medium Stock", supply[[#This Row],[Stocks]]&lt;=100, "High Stock")</f>
        <v>Medium Stock</v>
      </c>
      <c r="K22">
        <v>12</v>
      </c>
      <c r="L22">
        <v>68</v>
      </c>
      <c r="M22">
        <v>6</v>
      </c>
      <c r="N22" t="s">
        <v>35</v>
      </c>
      <c r="O22" s="5">
        <v>8.8783346509268402</v>
      </c>
      <c r="P22" t="s">
        <v>38</v>
      </c>
      <c r="Q22" t="s">
        <v>61</v>
      </c>
      <c r="R22">
        <v>29</v>
      </c>
      <c r="S22">
        <v>309</v>
      </c>
      <c r="T22">
        <v>6</v>
      </c>
      <c r="U22" s="4">
        <v>65.686259608488626</v>
      </c>
      <c r="V22" t="s">
        <v>63</v>
      </c>
      <c r="W22" s="4">
        <v>4.2314165735345393</v>
      </c>
      <c r="X22" t="s">
        <v>39</v>
      </c>
      <c r="Y22" t="s">
        <v>31</v>
      </c>
      <c r="Z22" s="4">
        <v>493.87121531620585</v>
      </c>
    </row>
    <row r="23" spans="1:26" x14ac:dyDescent="0.3">
      <c r="A23" t="s">
        <v>56</v>
      </c>
      <c r="B23" t="s">
        <v>74</v>
      </c>
      <c r="C23" s="3">
        <v>84.893868984950828</v>
      </c>
      <c r="D23">
        <v>60</v>
      </c>
      <c r="E23" t="str" cm="1">
        <f t="array" ref="E23">_xlfn.IFS(supply[[#This Row],[Availability]]&lt;=20,"Low",supply[[#This Row],[Availability]]&lt;=50,"medium",supply[[#This Row],[Availability]]&lt;=100,"High")</f>
        <v>High</v>
      </c>
      <c r="F23">
        <v>601</v>
      </c>
      <c r="G23" s="4">
        <v>7087.0526963574366</v>
      </c>
      <c r="H23" t="s">
        <v>37</v>
      </c>
      <c r="I23">
        <v>69</v>
      </c>
      <c r="J23" t="str" cm="1">
        <f t="array" ref="J23">_xlfn.IFS(supply[[#This Row],[Stocks]]&lt;20,"Low Stock",supply[[#This Row],[Stocks]]&lt;50,"Medium Stock", supply[[#This Row],[Stocks]]&lt;=100, "High Stock")</f>
        <v>High Stock</v>
      </c>
      <c r="K23">
        <v>25</v>
      </c>
      <c r="L23">
        <v>7</v>
      </c>
      <c r="M23">
        <v>6</v>
      </c>
      <c r="N23" t="s">
        <v>26</v>
      </c>
      <c r="O23" s="5">
        <v>6.0378837692182978</v>
      </c>
      <c r="P23" t="s">
        <v>43</v>
      </c>
      <c r="Q23" t="s">
        <v>61</v>
      </c>
      <c r="R23">
        <v>19</v>
      </c>
      <c r="S23">
        <v>791</v>
      </c>
      <c r="T23">
        <v>4</v>
      </c>
      <c r="U23" s="4">
        <v>61.735728954160933</v>
      </c>
      <c r="V23" t="s">
        <v>29</v>
      </c>
      <c r="W23" s="4">
        <v>1.8607567631014899E-2</v>
      </c>
      <c r="X23" t="s">
        <v>39</v>
      </c>
      <c r="Y23" t="s">
        <v>40</v>
      </c>
      <c r="Z23" s="4">
        <v>523.36091472015801</v>
      </c>
    </row>
    <row r="24" spans="1:26" x14ac:dyDescent="0.3">
      <c r="A24" t="s">
        <v>23</v>
      </c>
      <c r="B24" t="s">
        <v>75</v>
      </c>
      <c r="C24" s="3">
        <v>27.679780886501959</v>
      </c>
      <c r="D24">
        <v>55</v>
      </c>
      <c r="E24" t="str" cm="1">
        <f t="array" ref="E24">_xlfn.IFS(supply[[#This Row],[Availability]]&lt;=20,"Low",supply[[#This Row],[Availability]]&lt;=50,"medium",supply[[#This Row],[Availability]]&lt;=100,"High")</f>
        <v>High</v>
      </c>
      <c r="F24">
        <v>884</v>
      </c>
      <c r="G24" s="4">
        <v>2390.8078665561734</v>
      </c>
      <c r="H24" t="s">
        <v>37</v>
      </c>
      <c r="I24">
        <v>71</v>
      </c>
      <c r="J24" t="str" cm="1">
        <f t="array" ref="J24">_xlfn.IFS(supply[[#This Row],[Stocks]]&lt;20,"Low Stock",supply[[#This Row],[Stocks]]&lt;50,"Medium Stock", supply[[#This Row],[Stocks]]&lt;=100, "High Stock")</f>
        <v>High Stock</v>
      </c>
      <c r="K24">
        <v>1</v>
      </c>
      <c r="L24">
        <v>63</v>
      </c>
      <c r="M24">
        <v>10</v>
      </c>
      <c r="N24" t="s">
        <v>35</v>
      </c>
      <c r="O24" s="5">
        <v>9.5676489209230393</v>
      </c>
      <c r="P24" t="s">
        <v>51</v>
      </c>
      <c r="Q24" t="s">
        <v>44</v>
      </c>
      <c r="R24">
        <v>22</v>
      </c>
      <c r="S24">
        <v>780</v>
      </c>
      <c r="T24">
        <v>28</v>
      </c>
      <c r="U24" s="4">
        <v>50.120839612977349</v>
      </c>
      <c r="V24" t="s">
        <v>45</v>
      </c>
      <c r="W24" s="4">
        <v>2.5912754732111161</v>
      </c>
      <c r="X24" t="s">
        <v>46</v>
      </c>
      <c r="Y24" t="s">
        <v>40</v>
      </c>
      <c r="Z24" s="4">
        <v>205.57199582694707</v>
      </c>
    </row>
    <row r="25" spans="1:26" x14ac:dyDescent="0.3">
      <c r="A25" t="s">
        <v>56</v>
      </c>
      <c r="B25" t="s">
        <v>76</v>
      </c>
      <c r="C25" s="3">
        <v>4.3243411858641636</v>
      </c>
      <c r="D25">
        <v>30</v>
      </c>
      <c r="E25" t="str" cm="1">
        <f t="array" ref="E25">_xlfn.IFS(supply[[#This Row],[Availability]]&lt;=20,"Low",supply[[#This Row],[Availability]]&lt;=50,"medium",supply[[#This Row],[Availability]]&lt;=100,"High")</f>
        <v>medium</v>
      </c>
      <c r="F25">
        <v>391</v>
      </c>
      <c r="G25" s="4">
        <v>8858.367571011484</v>
      </c>
      <c r="H25" t="s">
        <v>37</v>
      </c>
      <c r="I25">
        <v>84</v>
      </c>
      <c r="J25" t="str" cm="1">
        <f t="array" ref="J25">_xlfn.IFS(supply[[#This Row],[Stocks]]&lt;20,"Low Stock",supply[[#This Row],[Stocks]]&lt;50,"Medium Stock", supply[[#This Row],[Stocks]]&lt;=100, "High Stock")</f>
        <v>High Stock</v>
      </c>
      <c r="K25">
        <v>5</v>
      </c>
      <c r="L25">
        <v>29</v>
      </c>
      <c r="M25">
        <v>7</v>
      </c>
      <c r="N25" t="s">
        <v>35</v>
      </c>
      <c r="O25" s="5">
        <v>2.924857601145554</v>
      </c>
      <c r="P25" t="s">
        <v>43</v>
      </c>
      <c r="Q25" t="s">
        <v>44</v>
      </c>
      <c r="R25">
        <v>11</v>
      </c>
      <c r="S25">
        <v>568</v>
      </c>
      <c r="T25">
        <v>29</v>
      </c>
      <c r="U25" s="4">
        <v>98.609957242703871</v>
      </c>
      <c r="V25" t="s">
        <v>29</v>
      </c>
      <c r="W25" s="4">
        <v>1.3422915627227339</v>
      </c>
      <c r="X25" t="s">
        <v>46</v>
      </c>
      <c r="Y25" t="s">
        <v>47</v>
      </c>
      <c r="Z25" s="4">
        <v>196.32944611241268</v>
      </c>
    </row>
    <row r="26" spans="1:26" x14ac:dyDescent="0.3">
      <c r="A26" t="s">
        <v>23</v>
      </c>
      <c r="B26" t="s">
        <v>77</v>
      </c>
      <c r="C26" s="3">
        <v>4.1563083593111081</v>
      </c>
      <c r="D26">
        <v>32</v>
      </c>
      <c r="E26" t="str" cm="1">
        <f t="array" ref="E26">_xlfn.IFS(supply[[#This Row],[Availability]]&lt;=20,"Low",supply[[#This Row],[Availability]]&lt;=50,"medium",supply[[#This Row],[Availability]]&lt;=100,"High")</f>
        <v>medium</v>
      </c>
      <c r="F26">
        <v>209</v>
      </c>
      <c r="G26" s="4">
        <v>9049.0778609398967</v>
      </c>
      <c r="H26" t="s">
        <v>54</v>
      </c>
      <c r="I26">
        <v>4</v>
      </c>
      <c r="J26" t="str" cm="1">
        <f t="array" ref="J26">_xlfn.IFS(supply[[#This Row],[Stocks]]&lt;20,"Low Stock",supply[[#This Row],[Stocks]]&lt;50,"Medium Stock", supply[[#This Row],[Stocks]]&lt;=100, "High Stock")</f>
        <v>Low Stock</v>
      </c>
      <c r="K26">
        <v>26</v>
      </c>
      <c r="L26">
        <v>2</v>
      </c>
      <c r="M26">
        <v>8</v>
      </c>
      <c r="N26" t="s">
        <v>42</v>
      </c>
      <c r="O26" s="5">
        <v>9.7412916892843686</v>
      </c>
      <c r="P26" t="s">
        <v>60</v>
      </c>
      <c r="Q26" t="s">
        <v>52</v>
      </c>
      <c r="R26">
        <v>28</v>
      </c>
      <c r="S26">
        <v>447</v>
      </c>
      <c r="T26">
        <v>3</v>
      </c>
      <c r="U26" s="4">
        <v>40.382359702924816</v>
      </c>
      <c r="V26" t="s">
        <v>29</v>
      </c>
      <c r="W26" s="4">
        <v>3.691310292628728</v>
      </c>
      <c r="X26" t="s">
        <v>39</v>
      </c>
      <c r="Y26" t="s">
        <v>47</v>
      </c>
      <c r="Z26" s="4">
        <v>758.72477260293829</v>
      </c>
    </row>
    <row r="27" spans="1:26" x14ac:dyDescent="0.3">
      <c r="A27" t="s">
        <v>23</v>
      </c>
      <c r="B27" t="s">
        <v>78</v>
      </c>
      <c r="C27" s="3">
        <v>39.629343985092625</v>
      </c>
      <c r="D27">
        <v>73</v>
      </c>
      <c r="E27" t="str" cm="1">
        <f t="array" ref="E27">_xlfn.IFS(supply[[#This Row],[Availability]]&lt;=20,"Low",supply[[#This Row],[Availability]]&lt;=50,"medium",supply[[#This Row],[Availability]]&lt;=100,"High")</f>
        <v>High</v>
      </c>
      <c r="F27">
        <v>142</v>
      </c>
      <c r="G27" s="4">
        <v>2174.777054350654</v>
      </c>
      <c r="H27" t="s">
        <v>54</v>
      </c>
      <c r="I27">
        <v>82</v>
      </c>
      <c r="J27" t="str" cm="1">
        <f t="array" ref="J27">_xlfn.IFS(supply[[#This Row],[Stocks]]&lt;20,"Low Stock",supply[[#This Row],[Stocks]]&lt;50,"Medium Stock", supply[[#This Row],[Stocks]]&lt;=100, "High Stock")</f>
        <v>High Stock</v>
      </c>
      <c r="K27">
        <v>11</v>
      </c>
      <c r="L27">
        <v>52</v>
      </c>
      <c r="M27">
        <v>3</v>
      </c>
      <c r="N27" t="s">
        <v>42</v>
      </c>
      <c r="O27" s="5">
        <v>2.2310736812817278</v>
      </c>
      <c r="P27" t="s">
        <v>51</v>
      </c>
      <c r="Q27" t="s">
        <v>44</v>
      </c>
      <c r="R27">
        <v>19</v>
      </c>
      <c r="S27">
        <v>934</v>
      </c>
      <c r="T27">
        <v>23</v>
      </c>
      <c r="U27" s="4">
        <v>78.280383118415386</v>
      </c>
      <c r="V27" t="s">
        <v>29</v>
      </c>
      <c r="W27" s="4">
        <v>3.7972312171141831</v>
      </c>
      <c r="X27" t="s">
        <v>30</v>
      </c>
      <c r="Y27" t="s">
        <v>31</v>
      </c>
      <c r="Z27" s="4">
        <v>458.53594573920907</v>
      </c>
    </row>
    <row r="28" spans="1:26" x14ac:dyDescent="0.3">
      <c r="A28" t="s">
        <v>23</v>
      </c>
      <c r="B28" t="s">
        <v>79</v>
      </c>
      <c r="C28" s="3">
        <v>97.44694661789282</v>
      </c>
      <c r="D28">
        <v>9</v>
      </c>
      <c r="E28" t="str" cm="1">
        <f t="array" ref="E28">_xlfn.IFS(supply[[#This Row],[Availability]]&lt;=20,"Low",supply[[#This Row],[Availability]]&lt;=50,"medium",supply[[#This Row],[Availability]]&lt;=100,"High")</f>
        <v>Low</v>
      </c>
      <c r="F28">
        <v>353</v>
      </c>
      <c r="G28" s="4">
        <v>3716.4933258940368</v>
      </c>
      <c r="H28" t="s">
        <v>54</v>
      </c>
      <c r="I28">
        <v>59</v>
      </c>
      <c r="J28" t="str" cm="1">
        <f t="array" ref="J28">_xlfn.IFS(supply[[#This Row],[Stocks]]&lt;20,"Low Stock",supply[[#This Row],[Stocks]]&lt;50,"Medium Stock", supply[[#This Row],[Stocks]]&lt;=100, "High Stock")</f>
        <v>High Stock</v>
      </c>
      <c r="K28">
        <v>16</v>
      </c>
      <c r="L28">
        <v>48</v>
      </c>
      <c r="M28">
        <v>4</v>
      </c>
      <c r="N28" t="s">
        <v>26</v>
      </c>
      <c r="O28" s="5">
        <v>6.5075486210785511</v>
      </c>
      <c r="P28" t="s">
        <v>60</v>
      </c>
      <c r="Q28" t="s">
        <v>52</v>
      </c>
      <c r="R28">
        <v>26</v>
      </c>
      <c r="S28">
        <v>171</v>
      </c>
      <c r="T28">
        <v>4</v>
      </c>
      <c r="U28" s="4">
        <v>15.972229757181761</v>
      </c>
      <c r="V28" t="s">
        <v>63</v>
      </c>
      <c r="W28" s="4">
        <v>2.1193197367249228</v>
      </c>
      <c r="X28" t="s">
        <v>46</v>
      </c>
      <c r="Y28" t="s">
        <v>47</v>
      </c>
      <c r="Z28" s="4">
        <v>617.8669164583772</v>
      </c>
    </row>
    <row r="29" spans="1:26" x14ac:dyDescent="0.3">
      <c r="A29" t="s">
        <v>56</v>
      </c>
      <c r="B29" t="s">
        <v>80</v>
      </c>
      <c r="C29" s="3">
        <v>92.557360812402024</v>
      </c>
      <c r="D29">
        <v>42</v>
      </c>
      <c r="E29" t="str" cm="1">
        <f t="array" ref="E29">_xlfn.IFS(supply[[#This Row],[Availability]]&lt;=20,"Low",supply[[#This Row],[Availability]]&lt;=50,"medium",supply[[#This Row],[Availability]]&lt;=100,"High")</f>
        <v>medium</v>
      </c>
      <c r="F29">
        <v>352</v>
      </c>
      <c r="G29" s="4">
        <v>2686.4572235759833</v>
      </c>
      <c r="H29" t="s">
        <v>37</v>
      </c>
      <c r="I29">
        <v>47</v>
      </c>
      <c r="J29" t="str" cm="1">
        <f t="array" ref="J29">_xlfn.IFS(supply[[#This Row],[Stocks]]&lt;20,"Low Stock",supply[[#This Row],[Stocks]]&lt;50,"Medium Stock", supply[[#This Row],[Stocks]]&lt;=100, "High Stock")</f>
        <v>Medium Stock</v>
      </c>
      <c r="K29">
        <v>9</v>
      </c>
      <c r="L29">
        <v>62</v>
      </c>
      <c r="M29">
        <v>8</v>
      </c>
      <c r="N29" t="s">
        <v>42</v>
      </c>
      <c r="O29" s="5">
        <v>7.406750952998074</v>
      </c>
      <c r="P29" t="s">
        <v>43</v>
      </c>
      <c r="Q29" t="s">
        <v>28</v>
      </c>
      <c r="R29">
        <v>25</v>
      </c>
      <c r="S29">
        <v>291</v>
      </c>
      <c r="T29">
        <v>4</v>
      </c>
      <c r="U29" s="4">
        <v>10.528245070042162</v>
      </c>
      <c r="V29" t="s">
        <v>45</v>
      </c>
      <c r="W29" s="4">
        <v>2.8646678378833732</v>
      </c>
      <c r="X29" t="s">
        <v>55</v>
      </c>
      <c r="Y29" t="s">
        <v>31</v>
      </c>
      <c r="Z29" s="4">
        <v>762.45918215568372</v>
      </c>
    </row>
    <row r="30" spans="1:26" x14ac:dyDescent="0.3">
      <c r="A30" t="s">
        <v>56</v>
      </c>
      <c r="B30" t="s">
        <v>81</v>
      </c>
      <c r="C30" s="3">
        <v>2.3972747055971411</v>
      </c>
      <c r="D30">
        <v>12</v>
      </c>
      <c r="E30" t="str" cm="1">
        <f t="array" ref="E30">_xlfn.IFS(supply[[#This Row],[Availability]]&lt;=20,"Low",supply[[#This Row],[Availability]]&lt;=50,"medium",supply[[#This Row],[Availability]]&lt;=100,"High")</f>
        <v>Low</v>
      </c>
      <c r="F30">
        <v>394</v>
      </c>
      <c r="G30" s="4">
        <v>6117.3246150839923</v>
      </c>
      <c r="H30" t="s">
        <v>34</v>
      </c>
      <c r="I30">
        <v>48</v>
      </c>
      <c r="J30" t="str" cm="1">
        <f t="array" ref="J30">_xlfn.IFS(supply[[#This Row],[Stocks]]&lt;20,"Low Stock",supply[[#This Row],[Stocks]]&lt;50,"Medium Stock", supply[[#This Row],[Stocks]]&lt;=100, "High Stock")</f>
        <v>Medium Stock</v>
      </c>
      <c r="K30">
        <v>15</v>
      </c>
      <c r="L30">
        <v>24</v>
      </c>
      <c r="M30">
        <v>4</v>
      </c>
      <c r="N30" t="s">
        <v>26</v>
      </c>
      <c r="O30" s="5">
        <v>9.898140508069222</v>
      </c>
      <c r="P30" t="s">
        <v>38</v>
      </c>
      <c r="Q30" t="s">
        <v>28</v>
      </c>
      <c r="R30">
        <v>13</v>
      </c>
      <c r="S30">
        <v>171</v>
      </c>
      <c r="T30">
        <v>7</v>
      </c>
      <c r="U30" s="4">
        <v>59.429381810691567</v>
      </c>
      <c r="V30" t="s">
        <v>45</v>
      </c>
      <c r="W30" s="4">
        <v>0.81575707929567198</v>
      </c>
      <c r="X30" t="s">
        <v>39</v>
      </c>
      <c r="Y30" t="s">
        <v>47</v>
      </c>
      <c r="Z30" s="4">
        <v>123.43702751182708</v>
      </c>
    </row>
    <row r="31" spans="1:26" x14ac:dyDescent="0.3">
      <c r="A31" t="s">
        <v>56</v>
      </c>
      <c r="B31" t="s">
        <v>82</v>
      </c>
      <c r="C31" s="3">
        <v>63.447559185207332</v>
      </c>
      <c r="D31">
        <v>3</v>
      </c>
      <c r="E31" t="str" cm="1">
        <f t="array" ref="E31">_xlfn.IFS(supply[[#This Row],[Availability]]&lt;=20,"Low",supply[[#This Row],[Availability]]&lt;=50,"medium",supply[[#This Row],[Availability]]&lt;=100,"High")</f>
        <v>Low</v>
      </c>
      <c r="F31">
        <v>253</v>
      </c>
      <c r="G31" s="4">
        <v>8318.9031946171781</v>
      </c>
      <c r="H31" t="s">
        <v>34</v>
      </c>
      <c r="I31">
        <v>45</v>
      </c>
      <c r="J31" t="str" cm="1">
        <f t="array" ref="J31">_xlfn.IFS(supply[[#This Row],[Stocks]]&lt;20,"Low Stock",supply[[#This Row],[Stocks]]&lt;50,"Medium Stock", supply[[#This Row],[Stocks]]&lt;=100, "High Stock")</f>
        <v>Medium Stock</v>
      </c>
      <c r="K31">
        <v>5</v>
      </c>
      <c r="L31">
        <v>67</v>
      </c>
      <c r="M31">
        <v>7</v>
      </c>
      <c r="N31" t="s">
        <v>26</v>
      </c>
      <c r="O31" s="5">
        <v>8.1009731453970311</v>
      </c>
      <c r="P31" t="s">
        <v>38</v>
      </c>
      <c r="Q31" t="s">
        <v>44</v>
      </c>
      <c r="R31">
        <v>16</v>
      </c>
      <c r="S31">
        <v>329</v>
      </c>
      <c r="T31">
        <v>7</v>
      </c>
      <c r="U31" s="4">
        <v>39.292875586065747</v>
      </c>
      <c r="V31" t="s">
        <v>63</v>
      </c>
      <c r="W31" s="4">
        <v>3.8780989365884881</v>
      </c>
      <c r="X31" t="s">
        <v>30</v>
      </c>
      <c r="Y31" t="s">
        <v>31</v>
      </c>
      <c r="Z31" s="4">
        <v>764.93537594070813</v>
      </c>
    </row>
    <row r="32" spans="1:26" x14ac:dyDescent="0.3">
      <c r="A32" t="s">
        <v>23</v>
      </c>
      <c r="B32" t="s">
        <v>83</v>
      </c>
      <c r="C32" s="3">
        <v>8.0228592105263932</v>
      </c>
      <c r="D32">
        <v>10</v>
      </c>
      <c r="E32" t="str" cm="1">
        <f t="array" ref="E32">_xlfn.IFS(supply[[#This Row],[Availability]]&lt;=20,"Low",supply[[#This Row],[Availability]]&lt;=50,"medium",supply[[#This Row],[Availability]]&lt;=100,"High")</f>
        <v>Low</v>
      </c>
      <c r="F32">
        <v>327</v>
      </c>
      <c r="G32" s="4">
        <v>2766.3423668660889</v>
      </c>
      <c r="H32" t="s">
        <v>54</v>
      </c>
      <c r="I32">
        <v>60</v>
      </c>
      <c r="J32" t="str" cm="1">
        <f t="array" ref="J32">_xlfn.IFS(supply[[#This Row],[Stocks]]&lt;20,"Low Stock",supply[[#This Row],[Stocks]]&lt;50,"Medium Stock", supply[[#This Row],[Stocks]]&lt;=100, "High Stock")</f>
        <v>High Stock</v>
      </c>
      <c r="K32">
        <v>26</v>
      </c>
      <c r="L32">
        <v>35</v>
      </c>
      <c r="M32">
        <v>7</v>
      </c>
      <c r="N32" t="s">
        <v>26</v>
      </c>
      <c r="O32" s="5">
        <v>8.9545283153180151</v>
      </c>
      <c r="P32" t="s">
        <v>51</v>
      </c>
      <c r="Q32" t="s">
        <v>44</v>
      </c>
      <c r="R32">
        <v>27</v>
      </c>
      <c r="S32">
        <v>806</v>
      </c>
      <c r="T32">
        <v>30</v>
      </c>
      <c r="U32" s="4">
        <v>51.634893400109334</v>
      </c>
      <c r="V32" t="s">
        <v>29</v>
      </c>
      <c r="W32" s="4">
        <v>0.96539470535239313</v>
      </c>
      <c r="X32" t="s">
        <v>30</v>
      </c>
      <c r="Y32" t="s">
        <v>40</v>
      </c>
      <c r="Z32" s="4">
        <v>880.08098824716103</v>
      </c>
    </row>
    <row r="33" spans="1:26" x14ac:dyDescent="0.3">
      <c r="A33" t="s">
        <v>32</v>
      </c>
      <c r="B33" t="s">
        <v>84</v>
      </c>
      <c r="C33" s="3">
        <v>50.847393051718697</v>
      </c>
      <c r="D33">
        <v>28</v>
      </c>
      <c r="E33" t="str" cm="1">
        <f t="array" ref="E33">_xlfn.IFS(supply[[#This Row],[Availability]]&lt;=20,"Low",supply[[#This Row],[Availability]]&lt;=50,"medium",supply[[#This Row],[Availability]]&lt;=100,"High")</f>
        <v>medium</v>
      </c>
      <c r="F33">
        <v>168</v>
      </c>
      <c r="G33" s="4">
        <v>9655.1351027193978</v>
      </c>
      <c r="H33" t="s">
        <v>54</v>
      </c>
      <c r="I33">
        <v>6</v>
      </c>
      <c r="J33" t="str" cm="1">
        <f t="array" ref="J33">_xlfn.IFS(supply[[#This Row],[Stocks]]&lt;20,"Low Stock",supply[[#This Row],[Stocks]]&lt;50,"Medium Stock", supply[[#This Row],[Stocks]]&lt;=100, "High Stock")</f>
        <v>Low Stock</v>
      </c>
      <c r="K33">
        <v>17</v>
      </c>
      <c r="L33">
        <v>44</v>
      </c>
      <c r="M33">
        <v>4</v>
      </c>
      <c r="N33" t="s">
        <v>26</v>
      </c>
      <c r="O33" s="5">
        <v>2.6796609649814065</v>
      </c>
      <c r="P33" t="s">
        <v>27</v>
      </c>
      <c r="Q33" t="s">
        <v>61</v>
      </c>
      <c r="R33">
        <v>24</v>
      </c>
      <c r="S33">
        <v>461</v>
      </c>
      <c r="T33">
        <v>8</v>
      </c>
      <c r="U33" s="4">
        <v>60.25114566159808</v>
      </c>
      <c r="V33" t="s">
        <v>29</v>
      </c>
      <c r="W33" s="4">
        <v>2.9890000066550746</v>
      </c>
      <c r="X33" t="s">
        <v>46</v>
      </c>
      <c r="Y33" t="s">
        <v>40</v>
      </c>
      <c r="Z33" s="4">
        <v>609.37920661842668</v>
      </c>
    </row>
    <row r="34" spans="1:26" x14ac:dyDescent="0.3">
      <c r="A34" t="s">
        <v>32</v>
      </c>
      <c r="B34" t="s">
        <v>85</v>
      </c>
      <c r="C34" s="3">
        <v>79.209936015656723</v>
      </c>
      <c r="D34">
        <v>43</v>
      </c>
      <c r="E34" t="str" cm="1">
        <f t="array" ref="E34">_xlfn.IFS(supply[[#This Row],[Availability]]&lt;=20,"Low",supply[[#This Row],[Availability]]&lt;=50,"medium",supply[[#This Row],[Availability]]&lt;=100,"High")</f>
        <v>medium</v>
      </c>
      <c r="F34">
        <v>781</v>
      </c>
      <c r="G34" s="4">
        <v>9571.5504873278187</v>
      </c>
      <c r="H34" t="s">
        <v>37</v>
      </c>
      <c r="I34">
        <v>89</v>
      </c>
      <c r="J34" t="str" cm="1">
        <f t="array" ref="J34">_xlfn.IFS(supply[[#This Row],[Stocks]]&lt;20,"Low Stock",supply[[#This Row],[Stocks]]&lt;50,"Medium Stock", supply[[#This Row],[Stocks]]&lt;=100, "High Stock")</f>
        <v>High Stock</v>
      </c>
      <c r="K34">
        <v>13</v>
      </c>
      <c r="L34">
        <v>64</v>
      </c>
      <c r="M34">
        <v>4</v>
      </c>
      <c r="N34" t="s">
        <v>42</v>
      </c>
      <c r="O34" s="5">
        <v>6.5991049012385838</v>
      </c>
      <c r="P34" t="s">
        <v>27</v>
      </c>
      <c r="Q34" t="s">
        <v>44</v>
      </c>
      <c r="R34">
        <v>30</v>
      </c>
      <c r="S34">
        <v>737</v>
      </c>
      <c r="T34">
        <v>7</v>
      </c>
      <c r="U34" s="4">
        <v>29.692467153749774</v>
      </c>
      <c r="V34" t="s">
        <v>63</v>
      </c>
      <c r="W34" s="4">
        <v>1.9460361193861131</v>
      </c>
      <c r="X34" t="s">
        <v>30</v>
      </c>
      <c r="Y34" t="s">
        <v>47</v>
      </c>
      <c r="Z34" s="4">
        <v>761.17390951487755</v>
      </c>
    </row>
    <row r="35" spans="1:26" x14ac:dyDescent="0.3">
      <c r="A35" t="s">
        <v>56</v>
      </c>
      <c r="B35" t="s">
        <v>86</v>
      </c>
      <c r="C35" s="3">
        <v>64.795435000155607</v>
      </c>
      <c r="D35">
        <v>63</v>
      </c>
      <c r="E35" t="str" cm="1">
        <f t="array" ref="E35">_xlfn.IFS(supply[[#This Row],[Availability]]&lt;=20,"Low",supply[[#This Row],[Availability]]&lt;=50,"medium",supply[[#This Row],[Availability]]&lt;=100,"High")</f>
        <v>High</v>
      </c>
      <c r="F35">
        <v>616</v>
      </c>
      <c r="G35" s="4">
        <v>5149.9983504080365</v>
      </c>
      <c r="H35" t="s">
        <v>25</v>
      </c>
      <c r="I35">
        <v>4</v>
      </c>
      <c r="J35" t="str" cm="1">
        <f t="array" ref="J35">_xlfn.IFS(supply[[#This Row],[Stocks]]&lt;20,"Low Stock",supply[[#This Row],[Stocks]]&lt;50,"Medium Stock", supply[[#This Row],[Stocks]]&lt;=100, "High Stock")</f>
        <v>Low Stock</v>
      </c>
      <c r="K35">
        <v>17</v>
      </c>
      <c r="L35">
        <v>95</v>
      </c>
      <c r="M35">
        <v>9</v>
      </c>
      <c r="N35" t="s">
        <v>42</v>
      </c>
      <c r="O35" s="5">
        <v>4.85827050343664</v>
      </c>
      <c r="P35" t="s">
        <v>43</v>
      </c>
      <c r="Q35" t="s">
        <v>61</v>
      </c>
      <c r="R35">
        <v>1</v>
      </c>
      <c r="S35">
        <v>251</v>
      </c>
      <c r="T35">
        <v>23</v>
      </c>
      <c r="U35" s="4">
        <v>23.853427512896133</v>
      </c>
      <c r="V35" t="s">
        <v>45</v>
      </c>
      <c r="W35" s="4">
        <v>3.5410460122509231</v>
      </c>
      <c r="X35" t="s">
        <v>55</v>
      </c>
      <c r="Y35" t="s">
        <v>47</v>
      </c>
      <c r="Z35" s="4">
        <v>371.25529551987103</v>
      </c>
    </row>
    <row r="36" spans="1:26" x14ac:dyDescent="0.3">
      <c r="A36" t="s">
        <v>32</v>
      </c>
      <c r="B36" t="s">
        <v>87</v>
      </c>
      <c r="C36" s="3">
        <v>37.467592329842461</v>
      </c>
      <c r="D36">
        <v>96</v>
      </c>
      <c r="E36" t="str" cm="1">
        <f t="array" ref="E36">_xlfn.IFS(supply[[#This Row],[Availability]]&lt;=20,"Low",supply[[#This Row],[Availability]]&lt;=50,"medium",supply[[#This Row],[Availability]]&lt;=100,"High")</f>
        <v>High</v>
      </c>
      <c r="F36">
        <v>602</v>
      </c>
      <c r="G36" s="4">
        <v>9061.7108955077238</v>
      </c>
      <c r="H36" t="s">
        <v>37</v>
      </c>
      <c r="I36">
        <v>1</v>
      </c>
      <c r="J36" t="str" cm="1">
        <f t="array" ref="J36">_xlfn.IFS(supply[[#This Row],[Stocks]]&lt;20,"Low Stock",supply[[#This Row],[Stocks]]&lt;50,"Medium Stock", supply[[#This Row],[Stocks]]&lt;=100, "High Stock")</f>
        <v>Low Stock</v>
      </c>
      <c r="K36">
        <v>26</v>
      </c>
      <c r="L36">
        <v>21</v>
      </c>
      <c r="M36">
        <v>7</v>
      </c>
      <c r="N36" t="s">
        <v>35</v>
      </c>
      <c r="O36" s="5">
        <v>1.0194875708221189</v>
      </c>
      <c r="P36" t="s">
        <v>38</v>
      </c>
      <c r="Q36" t="s">
        <v>61</v>
      </c>
      <c r="R36">
        <v>4</v>
      </c>
      <c r="S36">
        <v>452</v>
      </c>
      <c r="T36">
        <v>10</v>
      </c>
      <c r="U36" s="4">
        <v>10.754272815029333</v>
      </c>
      <c r="V36" t="s">
        <v>63</v>
      </c>
      <c r="W36" s="4">
        <v>0.64660455937205485</v>
      </c>
      <c r="X36" t="s">
        <v>30</v>
      </c>
      <c r="Y36" t="s">
        <v>31</v>
      </c>
      <c r="Z36" s="4">
        <v>510.3580004335235</v>
      </c>
    </row>
    <row r="37" spans="1:26" x14ac:dyDescent="0.3">
      <c r="A37" t="s">
        <v>56</v>
      </c>
      <c r="B37" t="s">
        <v>88</v>
      </c>
      <c r="C37" s="3">
        <v>84.957786816350435</v>
      </c>
      <c r="D37">
        <v>11</v>
      </c>
      <c r="E37" t="str" cm="1">
        <f t="array" ref="E37">_xlfn.IFS(supply[[#This Row],[Availability]]&lt;=20,"Low",supply[[#This Row],[Availability]]&lt;=50,"medium",supply[[#This Row],[Availability]]&lt;=100,"High")</f>
        <v>Low</v>
      </c>
      <c r="F37">
        <v>449</v>
      </c>
      <c r="G37" s="4">
        <v>6541.3293448024651</v>
      </c>
      <c r="H37" t="s">
        <v>34</v>
      </c>
      <c r="I37">
        <v>42</v>
      </c>
      <c r="J37" t="str" cm="1">
        <f t="array" ref="J37">_xlfn.IFS(supply[[#This Row],[Stocks]]&lt;20,"Low Stock",supply[[#This Row],[Stocks]]&lt;50,"Medium Stock", supply[[#This Row],[Stocks]]&lt;=100, "High Stock")</f>
        <v>Medium Stock</v>
      </c>
      <c r="K37">
        <v>27</v>
      </c>
      <c r="L37">
        <v>85</v>
      </c>
      <c r="M37">
        <v>8</v>
      </c>
      <c r="N37" t="s">
        <v>42</v>
      </c>
      <c r="O37" s="5">
        <v>5.2881899903274094</v>
      </c>
      <c r="P37" t="s">
        <v>38</v>
      </c>
      <c r="Q37" t="s">
        <v>49</v>
      </c>
      <c r="R37">
        <v>3</v>
      </c>
      <c r="S37">
        <v>367</v>
      </c>
      <c r="T37">
        <v>2</v>
      </c>
      <c r="U37" s="4">
        <v>58.004787044743765</v>
      </c>
      <c r="V37" t="s">
        <v>63</v>
      </c>
      <c r="W37" s="4">
        <v>0.54115409806058112</v>
      </c>
      <c r="X37" t="s">
        <v>55</v>
      </c>
      <c r="Y37" t="s">
        <v>40</v>
      </c>
      <c r="Z37" s="4">
        <v>553.42047123035582</v>
      </c>
    </row>
    <row r="38" spans="1:26" x14ac:dyDescent="0.3">
      <c r="A38" t="s">
        <v>32</v>
      </c>
      <c r="B38" t="s">
        <v>89</v>
      </c>
      <c r="C38" s="3">
        <v>9.8130025787540518</v>
      </c>
      <c r="D38">
        <v>34</v>
      </c>
      <c r="E38" t="str" cm="1">
        <f t="array" ref="E38">_xlfn.IFS(supply[[#This Row],[Availability]]&lt;=20,"Low",supply[[#This Row],[Availability]]&lt;=50,"medium",supply[[#This Row],[Availability]]&lt;=100,"High")</f>
        <v>medium</v>
      </c>
      <c r="F38">
        <v>963</v>
      </c>
      <c r="G38" s="4">
        <v>7573.4024578487333</v>
      </c>
      <c r="H38" t="s">
        <v>34</v>
      </c>
      <c r="I38">
        <v>18</v>
      </c>
      <c r="J38" t="str" cm="1">
        <f t="array" ref="J38">_xlfn.IFS(supply[[#This Row],[Stocks]]&lt;20,"Low Stock",supply[[#This Row],[Stocks]]&lt;50,"Medium Stock", supply[[#This Row],[Stocks]]&lt;=100, "High Stock")</f>
        <v>Low Stock</v>
      </c>
      <c r="K38">
        <v>23</v>
      </c>
      <c r="L38">
        <v>28</v>
      </c>
      <c r="M38">
        <v>3</v>
      </c>
      <c r="N38" t="s">
        <v>26</v>
      </c>
      <c r="O38" s="5">
        <v>2.107951267159081</v>
      </c>
      <c r="P38" t="s">
        <v>60</v>
      </c>
      <c r="Q38" t="s">
        <v>49</v>
      </c>
      <c r="R38">
        <v>26</v>
      </c>
      <c r="S38">
        <v>671</v>
      </c>
      <c r="T38">
        <v>19</v>
      </c>
      <c r="U38" s="4">
        <v>45.531364237162144</v>
      </c>
      <c r="V38" t="s">
        <v>45</v>
      </c>
      <c r="W38" s="4">
        <v>3.8055333792433537</v>
      </c>
      <c r="X38" t="s">
        <v>39</v>
      </c>
      <c r="Y38" t="s">
        <v>40</v>
      </c>
      <c r="Z38" s="4">
        <v>403.8089742481805</v>
      </c>
    </row>
    <row r="39" spans="1:26" x14ac:dyDescent="0.3">
      <c r="A39" t="s">
        <v>32</v>
      </c>
      <c r="B39" t="s">
        <v>90</v>
      </c>
      <c r="C39" s="3">
        <v>23.399844752614349</v>
      </c>
      <c r="D39">
        <v>5</v>
      </c>
      <c r="E39" t="str" cm="1">
        <f t="array" ref="E39">_xlfn.IFS(supply[[#This Row],[Availability]]&lt;=20,"Low",supply[[#This Row],[Availability]]&lt;=50,"medium",supply[[#This Row],[Availability]]&lt;=100,"High")</f>
        <v>Low</v>
      </c>
      <c r="F39">
        <v>963</v>
      </c>
      <c r="G39" s="4">
        <v>2438.3399304700288</v>
      </c>
      <c r="H39" t="s">
        <v>34</v>
      </c>
      <c r="I39">
        <v>25</v>
      </c>
      <c r="J39" t="str" cm="1">
        <f t="array" ref="J39">_xlfn.IFS(supply[[#This Row],[Stocks]]&lt;20,"Low Stock",supply[[#This Row],[Stocks]]&lt;50,"Medium Stock", supply[[#This Row],[Stocks]]&lt;=100, "High Stock")</f>
        <v>Medium Stock</v>
      </c>
      <c r="K39">
        <v>8</v>
      </c>
      <c r="L39">
        <v>21</v>
      </c>
      <c r="M39">
        <v>9</v>
      </c>
      <c r="N39" t="s">
        <v>35</v>
      </c>
      <c r="O39" s="5">
        <v>1.5326552735904306</v>
      </c>
      <c r="P39" t="s">
        <v>27</v>
      </c>
      <c r="Q39" t="s">
        <v>44</v>
      </c>
      <c r="R39">
        <v>24</v>
      </c>
      <c r="S39">
        <v>867</v>
      </c>
      <c r="T39">
        <v>15</v>
      </c>
      <c r="U39" s="4">
        <v>34.343277465075381</v>
      </c>
      <c r="V39" t="s">
        <v>29</v>
      </c>
      <c r="W39" s="4">
        <v>2.6102880848481131</v>
      </c>
      <c r="X39" t="s">
        <v>55</v>
      </c>
      <c r="Y39" t="s">
        <v>47</v>
      </c>
      <c r="Z39" s="4">
        <v>183.93296804359437</v>
      </c>
    </row>
    <row r="40" spans="1:26" x14ac:dyDescent="0.3">
      <c r="A40" t="s">
        <v>56</v>
      </c>
      <c r="B40" t="s">
        <v>91</v>
      </c>
      <c r="C40" s="3">
        <v>52.075930682707799</v>
      </c>
      <c r="D40">
        <v>75</v>
      </c>
      <c r="E40" t="str" cm="1">
        <f t="array" ref="E40">_xlfn.IFS(supply[[#This Row],[Availability]]&lt;=20,"Low",supply[[#This Row],[Availability]]&lt;=50,"medium",supply[[#This Row],[Availability]]&lt;=100,"High")</f>
        <v>High</v>
      </c>
      <c r="F40">
        <v>705</v>
      </c>
      <c r="G40" s="4">
        <v>9692.3180402184316</v>
      </c>
      <c r="H40" t="s">
        <v>25</v>
      </c>
      <c r="I40">
        <v>69</v>
      </c>
      <c r="J40" t="str" cm="1">
        <f t="array" ref="J40">_xlfn.IFS(supply[[#This Row],[Stocks]]&lt;20,"Low Stock",supply[[#This Row],[Stocks]]&lt;50,"Medium Stock", supply[[#This Row],[Stocks]]&lt;=100, "High Stock")</f>
        <v>High Stock</v>
      </c>
      <c r="K40">
        <v>1</v>
      </c>
      <c r="L40">
        <v>88</v>
      </c>
      <c r="M40">
        <v>5</v>
      </c>
      <c r="N40" t="s">
        <v>26</v>
      </c>
      <c r="O40" s="5">
        <v>9.2359314372492278</v>
      </c>
      <c r="P40" t="s">
        <v>43</v>
      </c>
      <c r="Q40" t="s">
        <v>28</v>
      </c>
      <c r="R40">
        <v>10</v>
      </c>
      <c r="S40">
        <v>841</v>
      </c>
      <c r="T40">
        <v>12</v>
      </c>
      <c r="U40" s="4">
        <v>5.9306936455283177</v>
      </c>
      <c r="V40" t="s">
        <v>29</v>
      </c>
      <c r="W40" s="4">
        <v>0.61332689916450744</v>
      </c>
      <c r="X40" t="s">
        <v>39</v>
      </c>
      <c r="Y40" t="s">
        <v>31</v>
      </c>
      <c r="Z40" s="4">
        <v>339.67286994860615</v>
      </c>
    </row>
    <row r="41" spans="1:26" x14ac:dyDescent="0.3">
      <c r="A41" t="s">
        <v>32</v>
      </c>
      <c r="B41" t="s">
        <v>92</v>
      </c>
      <c r="C41" s="3">
        <v>19.127477265823256</v>
      </c>
      <c r="D41">
        <v>26</v>
      </c>
      <c r="E41" t="str" cm="1">
        <f t="array" ref="E41">_xlfn.IFS(supply[[#This Row],[Availability]]&lt;=20,"Low",supply[[#This Row],[Availability]]&lt;=50,"medium",supply[[#This Row],[Availability]]&lt;=100,"High")</f>
        <v>medium</v>
      </c>
      <c r="F41">
        <v>176</v>
      </c>
      <c r="G41" s="4">
        <v>1912.4656631007608</v>
      </c>
      <c r="H41" t="s">
        <v>34</v>
      </c>
      <c r="I41">
        <v>78</v>
      </c>
      <c r="J41" t="str" cm="1">
        <f t="array" ref="J41">_xlfn.IFS(supply[[#This Row],[Stocks]]&lt;20,"Low Stock",supply[[#This Row],[Stocks]]&lt;50,"Medium Stock", supply[[#This Row],[Stocks]]&lt;=100, "High Stock")</f>
        <v>High Stock</v>
      </c>
      <c r="K41">
        <v>29</v>
      </c>
      <c r="L41">
        <v>34</v>
      </c>
      <c r="M41">
        <v>3</v>
      </c>
      <c r="N41" t="s">
        <v>35</v>
      </c>
      <c r="O41" s="5">
        <v>5.5625037788303837</v>
      </c>
      <c r="P41" t="s">
        <v>60</v>
      </c>
      <c r="Q41" t="s">
        <v>44</v>
      </c>
      <c r="R41">
        <v>30</v>
      </c>
      <c r="S41">
        <v>791</v>
      </c>
      <c r="T41">
        <v>6</v>
      </c>
      <c r="U41" s="4">
        <v>9.0058074287816421</v>
      </c>
      <c r="V41" t="s">
        <v>45</v>
      </c>
      <c r="W41" s="4">
        <v>1.4519722039968159</v>
      </c>
      <c r="X41" t="s">
        <v>39</v>
      </c>
      <c r="Y41" t="s">
        <v>31</v>
      </c>
      <c r="Z41" s="4">
        <v>653.67299455203317</v>
      </c>
    </row>
    <row r="42" spans="1:26" x14ac:dyDescent="0.3">
      <c r="A42" t="s">
        <v>32</v>
      </c>
      <c r="B42" t="s">
        <v>93</v>
      </c>
      <c r="C42" s="3">
        <v>80.541424170940331</v>
      </c>
      <c r="D42">
        <v>97</v>
      </c>
      <c r="E42" t="str" cm="1">
        <f t="array" ref="E42">_xlfn.IFS(supply[[#This Row],[Availability]]&lt;=20,"Low",supply[[#This Row],[Availability]]&lt;=50,"medium",supply[[#This Row],[Availability]]&lt;=100,"High")</f>
        <v>High</v>
      </c>
      <c r="F42">
        <v>933</v>
      </c>
      <c r="G42" s="4">
        <v>5724.9593504562654</v>
      </c>
      <c r="H42" t="s">
        <v>34</v>
      </c>
      <c r="I42">
        <v>90</v>
      </c>
      <c r="J42" t="str" cm="1">
        <f t="array" ref="J42">_xlfn.IFS(supply[[#This Row],[Stocks]]&lt;20,"Low Stock",supply[[#This Row],[Stocks]]&lt;50,"Medium Stock", supply[[#This Row],[Stocks]]&lt;=100, "High Stock")</f>
        <v>High Stock</v>
      </c>
      <c r="K42">
        <v>20</v>
      </c>
      <c r="L42">
        <v>39</v>
      </c>
      <c r="M42">
        <v>8</v>
      </c>
      <c r="N42" t="s">
        <v>42</v>
      </c>
      <c r="O42" s="5">
        <v>7.2295951397364737</v>
      </c>
      <c r="P42" t="s">
        <v>38</v>
      </c>
      <c r="Q42" t="s">
        <v>44</v>
      </c>
      <c r="R42">
        <v>18</v>
      </c>
      <c r="S42">
        <v>793</v>
      </c>
      <c r="T42">
        <v>1</v>
      </c>
      <c r="U42" s="4">
        <v>88.179407104217461</v>
      </c>
      <c r="V42" t="s">
        <v>29</v>
      </c>
      <c r="W42" s="4">
        <v>4.2132694305865659</v>
      </c>
      <c r="X42" t="s">
        <v>30</v>
      </c>
      <c r="Y42" t="s">
        <v>47</v>
      </c>
      <c r="Z42" s="4">
        <v>529.80872398069187</v>
      </c>
    </row>
    <row r="43" spans="1:26" x14ac:dyDescent="0.3">
      <c r="A43" t="s">
        <v>32</v>
      </c>
      <c r="B43" t="s">
        <v>94</v>
      </c>
      <c r="C43" s="3">
        <v>99.113291615317166</v>
      </c>
      <c r="D43">
        <v>35</v>
      </c>
      <c r="E43" t="str" cm="1">
        <f t="array" ref="E43">_xlfn.IFS(supply[[#This Row],[Availability]]&lt;=20,"Low",supply[[#This Row],[Availability]]&lt;=50,"medium",supply[[#This Row],[Availability]]&lt;=100,"High")</f>
        <v>medium</v>
      </c>
      <c r="F43">
        <v>556</v>
      </c>
      <c r="G43" s="4">
        <v>5521.2052590109715</v>
      </c>
      <c r="H43" t="s">
        <v>34</v>
      </c>
      <c r="I43">
        <v>64</v>
      </c>
      <c r="J43" t="str" cm="1">
        <f t="array" ref="J43">_xlfn.IFS(supply[[#This Row],[Stocks]]&lt;20,"Low Stock",supply[[#This Row],[Stocks]]&lt;50,"Medium Stock", supply[[#This Row],[Stocks]]&lt;=100, "High Stock")</f>
        <v>High Stock</v>
      </c>
      <c r="K43">
        <v>19</v>
      </c>
      <c r="L43">
        <v>38</v>
      </c>
      <c r="M43">
        <v>8</v>
      </c>
      <c r="N43" t="s">
        <v>26</v>
      </c>
      <c r="O43" s="5">
        <v>5.7732637437666536</v>
      </c>
      <c r="P43" t="s">
        <v>51</v>
      </c>
      <c r="Q43" t="s">
        <v>61</v>
      </c>
      <c r="R43">
        <v>18</v>
      </c>
      <c r="S43">
        <v>892</v>
      </c>
      <c r="T43">
        <v>7</v>
      </c>
      <c r="U43" s="4">
        <v>95.332064548772493</v>
      </c>
      <c r="V43" t="s">
        <v>45</v>
      </c>
      <c r="W43" s="4">
        <v>4.530226239825963E-2</v>
      </c>
      <c r="X43" t="s">
        <v>55</v>
      </c>
      <c r="Y43" t="s">
        <v>47</v>
      </c>
      <c r="Z43" s="4">
        <v>275.52437113130981</v>
      </c>
    </row>
    <row r="44" spans="1:26" x14ac:dyDescent="0.3">
      <c r="A44" t="s">
        <v>32</v>
      </c>
      <c r="B44" t="s">
        <v>95</v>
      </c>
      <c r="C44" s="3">
        <v>46.529167614516773</v>
      </c>
      <c r="D44">
        <v>98</v>
      </c>
      <c r="E44" t="str" cm="1">
        <f t="array" ref="E44">_xlfn.IFS(supply[[#This Row],[Availability]]&lt;=20,"Low",supply[[#This Row],[Availability]]&lt;=50,"medium",supply[[#This Row],[Availability]]&lt;=100,"High")</f>
        <v>High</v>
      </c>
      <c r="F44">
        <v>155</v>
      </c>
      <c r="G44" s="4">
        <v>1839.6094258567639</v>
      </c>
      <c r="H44" t="s">
        <v>34</v>
      </c>
      <c r="I44">
        <v>22</v>
      </c>
      <c r="J44" t="str" cm="1">
        <f t="array" ref="J44">_xlfn.IFS(supply[[#This Row],[Stocks]]&lt;20,"Low Stock",supply[[#This Row],[Stocks]]&lt;50,"Medium Stock", supply[[#This Row],[Stocks]]&lt;=100, "High Stock")</f>
        <v>Medium Stock</v>
      </c>
      <c r="K44">
        <v>27</v>
      </c>
      <c r="L44">
        <v>57</v>
      </c>
      <c r="M44">
        <v>4</v>
      </c>
      <c r="N44" t="s">
        <v>42</v>
      </c>
      <c r="O44" s="5">
        <v>7.5262483268515084</v>
      </c>
      <c r="P44" t="s">
        <v>43</v>
      </c>
      <c r="Q44" t="s">
        <v>52</v>
      </c>
      <c r="R44">
        <v>26</v>
      </c>
      <c r="S44">
        <v>179</v>
      </c>
      <c r="T44">
        <v>7</v>
      </c>
      <c r="U44" s="4">
        <v>96.422820639571867</v>
      </c>
      <c r="V44" t="s">
        <v>45</v>
      </c>
      <c r="W44" s="4">
        <v>4.9392552886209478</v>
      </c>
      <c r="X44" t="s">
        <v>30</v>
      </c>
      <c r="Y44" t="s">
        <v>47</v>
      </c>
      <c r="Z44" s="4">
        <v>635.65712050199193</v>
      </c>
    </row>
    <row r="45" spans="1:26" x14ac:dyDescent="0.3">
      <c r="A45" t="s">
        <v>23</v>
      </c>
      <c r="B45" t="s">
        <v>96</v>
      </c>
      <c r="C45" s="3">
        <v>11.743271776309239</v>
      </c>
      <c r="D45">
        <v>6</v>
      </c>
      <c r="E45" t="str" cm="1">
        <f t="array" ref="E45">_xlfn.IFS(supply[[#This Row],[Availability]]&lt;=20,"Low",supply[[#This Row],[Availability]]&lt;=50,"medium",supply[[#This Row],[Availability]]&lt;=100,"High")</f>
        <v>Low</v>
      </c>
      <c r="F45">
        <v>598</v>
      </c>
      <c r="G45" s="4">
        <v>5737.425599119023</v>
      </c>
      <c r="H45" t="s">
        <v>37</v>
      </c>
      <c r="I45">
        <v>36</v>
      </c>
      <c r="J45" t="str" cm="1">
        <f t="array" ref="J45">_xlfn.IFS(supply[[#This Row],[Stocks]]&lt;20,"Low Stock",supply[[#This Row],[Stocks]]&lt;50,"Medium Stock", supply[[#This Row],[Stocks]]&lt;=100, "High Stock")</f>
        <v>Medium Stock</v>
      </c>
      <c r="K45">
        <v>29</v>
      </c>
      <c r="L45">
        <v>85</v>
      </c>
      <c r="M45">
        <v>9</v>
      </c>
      <c r="N45" t="s">
        <v>26</v>
      </c>
      <c r="O45" s="5">
        <v>3.6940212683884543</v>
      </c>
      <c r="P45" t="s">
        <v>43</v>
      </c>
      <c r="Q45" t="s">
        <v>28</v>
      </c>
      <c r="R45">
        <v>1</v>
      </c>
      <c r="S45">
        <v>206</v>
      </c>
      <c r="T45">
        <v>23</v>
      </c>
      <c r="U45" s="4">
        <v>26.27736595733241</v>
      </c>
      <c r="V45" t="s">
        <v>29</v>
      </c>
      <c r="W45" s="4">
        <v>0.37230476798509771</v>
      </c>
      <c r="X45" t="s">
        <v>39</v>
      </c>
      <c r="Y45" t="s">
        <v>47</v>
      </c>
      <c r="Z45" s="4">
        <v>716.04411975934067</v>
      </c>
    </row>
    <row r="46" spans="1:26" x14ac:dyDescent="0.3">
      <c r="A46" t="s">
        <v>56</v>
      </c>
      <c r="B46" t="s">
        <v>97</v>
      </c>
      <c r="C46" s="3">
        <v>51.35579091311039</v>
      </c>
      <c r="D46">
        <v>34</v>
      </c>
      <c r="E46" t="str" cm="1">
        <f t="array" ref="E46">_xlfn.IFS(supply[[#This Row],[Availability]]&lt;=20,"Low",supply[[#This Row],[Availability]]&lt;=50,"medium",supply[[#This Row],[Availability]]&lt;=100,"High")</f>
        <v>medium</v>
      </c>
      <c r="F46">
        <v>919</v>
      </c>
      <c r="G46" s="4">
        <v>7152.2860494355145</v>
      </c>
      <c r="H46" t="s">
        <v>34</v>
      </c>
      <c r="I46">
        <v>13</v>
      </c>
      <c r="J46" t="str" cm="1">
        <f t="array" ref="J46">_xlfn.IFS(supply[[#This Row],[Stocks]]&lt;20,"Low Stock",supply[[#This Row],[Stocks]]&lt;50,"Medium Stock", supply[[#This Row],[Stocks]]&lt;=100, "High Stock")</f>
        <v>Low Stock</v>
      </c>
      <c r="K46">
        <v>19</v>
      </c>
      <c r="L46">
        <v>72</v>
      </c>
      <c r="M46">
        <v>6</v>
      </c>
      <c r="N46" t="s">
        <v>42</v>
      </c>
      <c r="O46" s="5">
        <v>7.5774496573766932</v>
      </c>
      <c r="P46" t="s">
        <v>60</v>
      </c>
      <c r="Q46" t="s">
        <v>49</v>
      </c>
      <c r="R46">
        <v>7</v>
      </c>
      <c r="S46">
        <v>834</v>
      </c>
      <c r="T46">
        <v>18</v>
      </c>
      <c r="U46" s="4">
        <v>22.554106620887744</v>
      </c>
      <c r="V46" t="s">
        <v>45</v>
      </c>
      <c r="W46" s="4">
        <v>2.9626263204548819</v>
      </c>
      <c r="X46" t="s">
        <v>46</v>
      </c>
      <c r="Y46" t="s">
        <v>47</v>
      </c>
      <c r="Z46" s="4">
        <v>610.45326961922774</v>
      </c>
    </row>
    <row r="47" spans="1:26" x14ac:dyDescent="0.3">
      <c r="A47" t="s">
        <v>23</v>
      </c>
      <c r="B47" t="s">
        <v>98</v>
      </c>
      <c r="C47" s="3">
        <v>33.78413803306551</v>
      </c>
      <c r="D47">
        <v>1</v>
      </c>
      <c r="E47" t="str" cm="1">
        <f t="array" ref="E47">_xlfn.IFS(supply[[#This Row],[Availability]]&lt;=20,"Low",supply[[#This Row],[Availability]]&lt;=50,"medium",supply[[#This Row],[Availability]]&lt;=100,"High")</f>
        <v>Low</v>
      </c>
      <c r="F47">
        <v>24</v>
      </c>
      <c r="G47" s="4">
        <v>5267.9568075105208</v>
      </c>
      <c r="H47" t="s">
        <v>54</v>
      </c>
      <c r="I47">
        <v>93</v>
      </c>
      <c r="J47" t="str" cm="1">
        <f t="array" ref="J47">_xlfn.IFS(supply[[#This Row],[Stocks]]&lt;20,"Low Stock",supply[[#This Row],[Stocks]]&lt;50,"Medium Stock", supply[[#This Row],[Stocks]]&lt;=100, "High Stock")</f>
        <v>High Stock</v>
      </c>
      <c r="K47">
        <v>7</v>
      </c>
      <c r="L47">
        <v>52</v>
      </c>
      <c r="M47">
        <v>6</v>
      </c>
      <c r="N47" t="s">
        <v>26</v>
      </c>
      <c r="O47" s="5">
        <v>5.2151550087119096</v>
      </c>
      <c r="P47" t="s">
        <v>60</v>
      </c>
      <c r="Q47" t="s">
        <v>61</v>
      </c>
      <c r="R47">
        <v>25</v>
      </c>
      <c r="S47">
        <v>794</v>
      </c>
      <c r="T47">
        <v>25</v>
      </c>
      <c r="U47" s="4">
        <v>66.312544439991655</v>
      </c>
      <c r="V47" t="s">
        <v>63</v>
      </c>
      <c r="W47" s="4">
        <v>3.219604612084106</v>
      </c>
      <c r="X47" t="s">
        <v>46</v>
      </c>
      <c r="Y47" t="s">
        <v>47</v>
      </c>
      <c r="Z47" s="4">
        <v>495.30569702847396</v>
      </c>
    </row>
    <row r="48" spans="1:26" x14ac:dyDescent="0.3">
      <c r="A48" t="s">
        <v>23</v>
      </c>
      <c r="B48" t="s">
        <v>99</v>
      </c>
      <c r="C48" s="3">
        <v>27.082207199888899</v>
      </c>
      <c r="D48">
        <v>75</v>
      </c>
      <c r="E48" t="str" cm="1">
        <f t="array" ref="E48">_xlfn.IFS(supply[[#This Row],[Availability]]&lt;=20,"Low",supply[[#This Row],[Availability]]&lt;=50,"medium",supply[[#This Row],[Availability]]&lt;=100,"High")</f>
        <v>High</v>
      </c>
      <c r="F48">
        <v>859</v>
      </c>
      <c r="G48" s="4">
        <v>2556.7673606335957</v>
      </c>
      <c r="H48" t="s">
        <v>25</v>
      </c>
      <c r="I48">
        <v>92</v>
      </c>
      <c r="J48" t="str" cm="1">
        <f t="array" ref="J48">_xlfn.IFS(supply[[#This Row],[Stocks]]&lt;20,"Low Stock",supply[[#This Row],[Stocks]]&lt;50,"Medium Stock", supply[[#This Row],[Stocks]]&lt;=100, "High Stock")</f>
        <v>High Stock</v>
      </c>
      <c r="K48">
        <v>29</v>
      </c>
      <c r="L48">
        <v>6</v>
      </c>
      <c r="M48">
        <v>8</v>
      </c>
      <c r="N48" t="s">
        <v>26</v>
      </c>
      <c r="O48" s="5">
        <v>4.0709558370840826</v>
      </c>
      <c r="P48" t="s">
        <v>27</v>
      </c>
      <c r="Q48" t="s">
        <v>61</v>
      </c>
      <c r="R48">
        <v>18</v>
      </c>
      <c r="S48">
        <v>870</v>
      </c>
      <c r="T48">
        <v>23</v>
      </c>
      <c r="U48" s="4">
        <v>77.32235321105162</v>
      </c>
      <c r="V48" t="s">
        <v>29</v>
      </c>
      <c r="W48" s="4">
        <v>3.6486105925362033</v>
      </c>
      <c r="X48" t="s">
        <v>30</v>
      </c>
      <c r="Y48" t="s">
        <v>31</v>
      </c>
      <c r="Z48" s="4">
        <v>380.43593711196428</v>
      </c>
    </row>
    <row r="49" spans="1:26" x14ac:dyDescent="0.3">
      <c r="A49" t="s">
        <v>32</v>
      </c>
      <c r="B49" t="s">
        <v>100</v>
      </c>
      <c r="C49" s="3">
        <v>95.712135880936088</v>
      </c>
      <c r="D49">
        <v>93</v>
      </c>
      <c r="E49" t="str" cm="1">
        <f t="array" ref="E49">_xlfn.IFS(supply[[#This Row],[Availability]]&lt;=20,"Low",supply[[#This Row],[Availability]]&lt;=50,"medium",supply[[#This Row],[Availability]]&lt;=100,"High")</f>
        <v>High</v>
      </c>
      <c r="F49">
        <v>910</v>
      </c>
      <c r="G49" s="4">
        <v>7089.4742499341864</v>
      </c>
      <c r="H49" t="s">
        <v>54</v>
      </c>
      <c r="I49">
        <v>4</v>
      </c>
      <c r="J49" t="str" cm="1">
        <f t="array" ref="J49">_xlfn.IFS(supply[[#This Row],[Stocks]]&lt;20,"Low Stock",supply[[#This Row],[Stocks]]&lt;50,"Medium Stock", supply[[#This Row],[Stocks]]&lt;=100, "High Stock")</f>
        <v>Low Stock</v>
      </c>
      <c r="K49">
        <v>15</v>
      </c>
      <c r="L49">
        <v>51</v>
      </c>
      <c r="M49">
        <v>9</v>
      </c>
      <c r="N49" t="s">
        <v>26</v>
      </c>
      <c r="O49" s="5">
        <v>8.9787507559499709</v>
      </c>
      <c r="P49" t="s">
        <v>38</v>
      </c>
      <c r="Q49" t="s">
        <v>44</v>
      </c>
      <c r="R49">
        <v>10</v>
      </c>
      <c r="S49">
        <v>964</v>
      </c>
      <c r="T49">
        <v>20</v>
      </c>
      <c r="U49" s="4">
        <v>19.712992911293647</v>
      </c>
      <c r="V49" t="s">
        <v>29</v>
      </c>
      <c r="W49" s="4">
        <v>0.38057358671321373</v>
      </c>
      <c r="X49" t="s">
        <v>46</v>
      </c>
      <c r="Y49" t="s">
        <v>47</v>
      </c>
      <c r="Z49" s="4">
        <v>581.60235505058677</v>
      </c>
    </row>
    <row r="50" spans="1:26" x14ac:dyDescent="0.3">
      <c r="A50" t="s">
        <v>23</v>
      </c>
      <c r="B50" t="s">
        <v>101</v>
      </c>
      <c r="C50" s="3">
        <v>76.035544426891718</v>
      </c>
      <c r="D50">
        <v>28</v>
      </c>
      <c r="E50" t="str" cm="1">
        <f t="array" ref="E50">_xlfn.IFS(supply[[#This Row],[Availability]]&lt;=20,"Low",supply[[#This Row],[Availability]]&lt;=50,"medium",supply[[#This Row],[Availability]]&lt;=100,"High")</f>
        <v>medium</v>
      </c>
      <c r="F50">
        <v>29</v>
      </c>
      <c r="G50" s="4">
        <v>7397.0710045871801</v>
      </c>
      <c r="H50" t="s">
        <v>25</v>
      </c>
      <c r="I50">
        <v>30</v>
      </c>
      <c r="J50" t="str" cm="1">
        <f t="array" ref="J50">_xlfn.IFS(supply[[#This Row],[Stocks]]&lt;20,"Low Stock",supply[[#This Row],[Stocks]]&lt;50,"Medium Stock", supply[[#This Row],[Stocks]]&lt;=100, "High Stock")</f>
        <v>Medium Stock</v>
      </c>
      <c r="K50">
        <v>16</v>
      </c>
      <c r="L50">
        <v>9</v>
      </c>
      <c r="M50">
        <v>3</v>
      </c>
      <c r="N50" t="s">
        <v>42</v>
      </c>
      <c r="O50" s="5">
        <v>7.0958331565551385</v>
      </c>
      <c r="P50" t="s">
        <v>60</v>
      </c>
      <c r="Q50" t="s">
        <v>28</v>
      </c>
      <c r="R50">
        <v>9</v>
      </c>
      <c r="S50">
        <v>109</v>
      </c>
      <c r="T50">
        <v>18</v>
      </c>
      <c r="U50" s="4">
        <v>23.126363582464776</v>
      </c>
      <c r="V50" t="s">
        <v>45</v>
      </c>
      <c r="W50" s="4">
        <v>1.6981125407144038</v>
      </c>
      <c r="X50" t="s">
        <v>46</v>
      </c>
      <c r="Y50" t="s">
        <v>31</v>
      </c>
      <c r="Z50" s="4">
        <v>768.65191395437</v>
      </c>
    </row>
    <row r="51" spans="1:26" x14ac:dyDescent="0.3">
      <c r="A51" t="s">
        <v>56</v>
      </c>
      <c r="B51" t="s">
        <v>102</v>
      </c>
      <c r="C51" s="3">
        <v>78.897913205640037</v>
      </c>
      <c r="D51">
        <v>19</v>
      </c>
      <c r="E51" t="str" cm="1">
        <f t="array" ref="E51">_xlfn.IFS(supply[[#This Row],[Availability]]&lt;=20,"Low",supply[[#This Row],[Availability]]&lt;=50,"medium",supply[[#This Row],[Availability]]&lt;=100,"High")</f>
        <v>Low</v>
      </c>
      <c r="F51">
        <v>99</v>
      </c>
      <c r="G51" s="4">
        <v>8001.6132065190022</v>
      </c>
      <c r="H51" t="s">
        <v>37</v>
      </c>
      <c r="I51">
        <v>97</v>
      </c>
      <c r="J51" t="str" cm="1">
        <f t="array" ref="J51">_xlfn.IFS(supply[[#This Row],[Stocks]]&lt;20,"Low Stock",supply[[#This Row],[Stocks]]&lt;50,"Medium Stock", supply[[#This Row],[Stocks]]&lt;=100, "High Stock")</f>
        <v>High Stock</v>
      </c>
      <c r="K51">
        <v>24</v>
      </c>
      <c r="L51">
        <v>9</v>
      </c>
      <c r="M51">
        <v>6</v>
      </c>
      <c r="N51" t="s">
        <v>42</v>
      </c>
      <c r="O51" s="5">
        <v>2.5056210329009154</v>
      </c>
      <c r="P51" t="s">
        <v>43</v>
      </c>
      <c r="Q51" t="s">
        <v>49</v>
      </c>
      <c r="R51">
        <v>28</v>
      </c>
      <c r="S51">
        <v>177</v>
      </c>
      <c r="T51">
        <v>28</v>
      </c>
      <c r="U51" s="4">
        <v>14.147815443979217</v>
      </c>
      <c r="V51" t="s">
        <v>63</v>
      </c>
      <c r="W51" s="4">
        <v>2.8258139854001318</v>
      </c>
      <c r="X51" t="s">
        <v>46</v>
      </c>
      <c r="Y51" t="s">
        <v>47</v>
      </c>
      <c r="Z51" s="4">
        <v>336.89016851997792</v>
      </c>
    </row>
    <row r="52" spans="1:26" x14ac:dyDescent="0.3">
      <c r="A52" t="s">
        <v>56</v>
      </c>
      <c r="B52" t="s">
        <v>103</v>
      </c>
      <c r="C52" s="3">
        <v>14.203484264803022</v>
      </c>
      <c r="D52">
        <v>91</v>
      </c>
      <c r="E52" t="str" cm="1">
        <f t="array" ref="E52">_xlfn.IFS(supply[[#This Row],[Availability]]&lt;=20,"Low",supply[[#This Row],[Availability]]&lt;=50,"medium",supply[[#This Row],[Availability]]&lt;=100,"High")</f>
        <v>High</v>
      </c>
      <c r="F52">
        <v>633</v>
      </c>
      <c r="G52" s="4">
        <v>5910.8853896688988</v>
      </c>
      <c r="H52" t="s">
        <v>34</v>
      </c>
      <c r="I52">
        <v>31</v>
      </c>
      <c r="J52" t="str" cm="1">
        <f t="array" ref="J52">_xlfn.IFS(supply[[#This Row],[Stocks]]&lt;20,"Low Stock",supply[[#This Row],[Stocks]]&lt;50,"Medium Stock", supply[[#This Row],[Stocks]]&lt;=100, "High Stock")</f>
        <v>Medium Stock</v>
      </c>
      <c r="K52">
        <v>23</v>
      </c>
      <c r="L52">
        <v>82</v>
      </c>
      <c r="M52">
        <v>10</v>
      </c>
      <c r="N52" t="s">
        <v>35</v>
      </c>
      <c r="O52" s="5">
        <v>6.2478609149759912</v>
      </c>
      <c r="P52" t="s">
        <v>60</v>
      </c>
      <c r="Q52" t="s">
        <v>49</v>
      </c>
      <c r="R52">
        <v>20</v>
      </c>
      <c r="S52">
        <v>306</v>
      </c>
      <c r="T52">
        <v>21</v>
      </c>
      <c r="U52" s="4">
        <v>45.178757924634517</v>
      </c>
      <c r="V52" t="s">
        <v>45</v>
      </c>
      <c r="W52" s="4">
        <v>4.7548008046711852</v>
      </c>
      <c r="X52" t="s">
        <v>46</v>
      </c>
      <c r="Y52" t="s">
        <v>31</v>
      </c>
      <c r="Z52" s="4">
        <v>496.24865029194046</v>
      </c>
    </row>
    <row r="53" spans="1:26" x14ac:dyDescent="0.3">
      <c r="A53" t="s">
        <v>23</v>
      </c>
      <c r="B53" t="s">
        <v>104</v>
      </c>
      <c r="C53" s="3">
        <v>26.70076097246173</v>
      </c>
      <c r="D53">
        <v>61</v>
      </c>
      <c r="E53" t="str" cm="1">
        <f t="array" ref="E53">_xlfn.IFS(supply[[#This Row],[Availability]]&lt;=20,"Low",supply[[#This Row],[Availability]]&lt;=50,"medium",supply[[#This Row],[Availability]]&lt;=100,"High")</f>
        <v>High</v>
      </c>
      <c r="F53">
        <v>154</v>
      </c>
      <c r="G53" s="4">
        <v>9866.465457979697</v>
      </c>
      <c r="H53" t="s">
        <v>54</v>
      </c>
      <c r="I53">
        <v>100</v>
      </c>
      <c r="J53" t="str" cm="1">
        <f t="array" ref="J53">_xlfn.IFS(supply[[#This Row],[Stocks]]&lt;20,"Low Stock",supply[[#This Row],[Stocks]]&lt;50,"Medium Stock", supply[[#This Row],[Stocks]]&lt;=100, "High Stock")</f>
        <v>High Stock</v>
      </c>
      <c r="K53">
        <v>4</v>
      </c>
      <c r="L53">
        <v>52</v>
      </c>
      <c r="M53">
        <v>1</v>
      </c>
      <c r="N53" t="s">
        <v>35</v>
      </c>
      <c r="O53" s="5">
        <v>4.7830005579476653</v>
      </c>
      <c r="P53" t="s">
        <v>43</v>
      </c>
      <c r="Q53" t="s">
        <v>52</v>
      </c>
      <c r="R53">
        <v>18</v>
      </c>
      <c r="S53">
        <v>673</v>
      </c>
      <c r="T53">
        <v>28</v>
      </c>
      <c r="U53" s="4">
        <v>14.190328344569981</v>
      </c>
      <c r="V53" t="s">
        <v>29</v>
      </c>
      <c r="W53" s="4">
        <v>1.7729511720835571</v>
      </c>
      <c r="X53" t="s">
        <v>30</v>
      </c>
      <c r="Y53" t="s">
        <v>47</v>
      </c>
      <c r="Z53" s="4">
        <v>694.98231757944586</v>
      </c>
    </row>
    <row r="54" spans="1:26" x14ac:dyDescent="0.3">
      <c r="A54" t="s">
        <v>32</v>
      </c>
      <c r="B54" t="s">
        <v>105</v>
      </c>
      <c r="C54" s="3">
        <v>98.031829656465078</v>
      </c>
      <c r="D54">
        <v>1</v>
      </c>
      <c r="E54" t="str" cm="1">
        <f t="array" ref="E54">_xlfn.IFS(supply[[#This Row],[Availability]]&lt;=20,"Low",supply[[#This Row],[Availability]]&lt;=50,"medium",supply[[#This Row],[Availability]]&lt;=100,"High")</f>
        <v>Low</v>
      </c>
      <c r="F54">
        <v>820</v>
      </c>
      <c r="G54" s="4">
        <v>9435.7626089121295</v>
      </c>
      <c r="H54" t="s">
        <v>54</v>
      </c>
      <c r="I54">
        <v>64</v>
      </c>
      <c r="J54" t="str" cm="1">
        <f t="array" ref="J54">_xlfn.IFS(supply[[#This Row],[Stocks]]&lt;20,"Low Stock",supply[[#This Row],[Stocks]]&lt;50,"Medium Stock", supply[[#This Row],[Stocks]]&lt;=100, "High Stock")</f>
        <v>High Stock</v>
      </c>
      <c r="K54">
        <v>11</v>
      </c>
      <c r="L54">
        <v>11</v>
      </c>
      <c r="M54">
        <v>1</v>
      </c>
      <c r="N54" t="s">
        <v>26</v>
      </c>
      <c r="O54" s="5">
        <v>8.6310521797689468</v>
      </c>
      <c r="P54" t="s">
        <v>38</v>
      </c>
      <c r="Q54" t="s">
        <v>28</v>
      </c>
      <c r="R54">
        <v>10</v>
      </c>
      <c r="S54">
        <v>727</v>
      </c>
      <c r="T54">
        <v>27</v>
      </c>
      <c r="U54" s="4">
        <v>9.1668491485971515</v>
      </c>
      <c r="V54" t="s">
        <v>29</v>
      </c>
      <c r="W54" s="4">
        <v>2.1224716191438247</v>
      </c>
      <c r="X54" t="s">
        <v>39</v>
      </c>
      <c r="Y54" t="s">
        <v>40</v>
      </c>
      <c r="Z54" s="4">
        <v>602.89849883838338</v>
      </c>
    </row>
    <row r="55" spans="1:26" x14ac:dyDescent="0.3">
      <c r="A55" t="s">
        <v>32</v>
      </c>
      <c r="B55" t="s">
        <v>106</v>
      </c>
      <c r="C55" s="3">
        <v>30.341470711214214</v>
      </c>
      <c r="D55">
        <v>93</v>
      </c>
      <c r="E55" t="str" cm="1">
        <f t="array" ref="E55">_xlfn.IFS(supply[[#This Row],[Availability]]&lt;=20,"Low",supply[[#This Row],[Availability]]&lt;=50,"medium",supply[[#This Row],[Availability]]&lt;=100,"High")</f>
        <v>High</v>
      </c>
      <c r="F55">
        <v>242</v>
      </c>
      <c r="G55" s="4">
        <v>8232.3348294258212</v>
      </c>
      <c r="H55" t="s">
        <v>54</v>
      </c>
      <c r="I55">
        <v>96</v>
      </c>
      <c r="J55" t="str" cm="1">
        <f t="array" ref="J55">_xlfn.IFS(supply[[#This Row],[Stocks]]&lt;20,"Low Stock",supply[[#This Row],[Stocks]]&lt;50,"Medium Stock", supply[[#This Row],[Stocks]]&lt;=100, "High Stock")</f>
        <v>High Stock</v>
      </c>
      <c r="K55">
        <v>25</v>
      </c>
      <c r="L55">
        <v>54</v>
      </c>
      <c r="M55">
        <v>3</v>
      </c>
      <c r="N55" t="s">
        <v>26</v>
      </c>
      <c r="O55" s="5">
        <v>1.0134865660958963</v>
      </c>
      <c r="P55" t="s">
        <v>38</v>
      </c>
      <c r="Q55" t="s">
        <v>49</v>
      </c>
      <c r="R55">
        <v>1</v>
      </c>
      <c r="S55">
        <v>631</v>
      </c>
      <c r="T55">
        <v>17</v>
      </c>
      <c r="U55" s="4">
        <v>83.344058991677969</v>
      </c>
      <c r="V55" t="s">
        <v>29</v>
      </c>
      <c r="W55" s="4">
        <v>1.4103475760760271</v>
      </c>
      <c r="X55" t="s">
        <v>39</v>
      </c>
      <c r="Y55" t="s">
        <v>31</v>
      </c>
      <c r="Z55" s="4">
        <v>750.73784066827091</v>
      </c>
    </row>
    <row r="56" spans="1:26" x14ac:dyDescent="0.3">
      <c r="A56" t="s">
        <v>23</v>
      </c>
      <c r="B56" t="s">
        <v>107</v>
      </c>
      <c r="C56" s="3">
        <v>31.146243160240854</v>
      </c>
      <c r="D56">
        <v>11</v>
      </c>
      <c r="E56" t="str" cm="1">
        <f t="array" ref="E56">_xlfn.IFS(supply[[#This Row],[Availability]]&lt;=20,"Low",supply[[#This Row],[Availability]]&lt;=50,"medium",supply[[#This Row],[Availability]]&lt;=100,"High")</f>
        <v>Low</v>
      </c>
      <c r="F56">
        <v>622</v>
      </c>
      <c r="G56" s="4">
        <v>6088.0214799408586</v>
      </c>
      <c r="H56" t="s">
        <v>25</v>
      </c>
      <c r="I56">
        <v>33</v>
      </c>
      <c r="J56" t="str" cm="1">
        <f t="array" ref="J56">_xlfn.IFS(supply[[#This Row],[Stocks]]&lt;20,"Low Stock",supply[[#This Row],[Stocks]]&lt;50,"Medium Stock", supply[[#This Row],[Stocks]]&lt;=100, "High Stock")</f>
        <v>Medium Stock</v>
      </c>
      <c r="K56">
        <v>22</v>
      </c>
      <c r="L56">
        <v>61</v>
      </c>
      <c r="M56">
        <v>3</v>
      </c>
      <c r="N56" t="s">
        <v>26</v>
      </c>
      <c r="O56" s="5">
        <v>4.3051034712876355</v>
      </c>
      <c r="P56" t="s">
        <v>38</v>
      </c>
      <c r="Q56" t="s">
        <v>44</v>
      </c>
      <c r="R56">
        <v>26</v>
      </c>
      <c r="S56">
        <v>497</v>
      </c>
      <c r="T56">
        <v>29</v>
      </c>
      <c r="U56" s="4">
        <v>30.186023375822508</v>
      </c>
      <c r="V56" t="s">
        <v>63</v>
      </c>
      <c r="W56" s="4">
        <v>2.4787719755397477</v>
      </c>
      <c r="X56" t="s">
        <v>30</v>
      </c>
      <c r="Y56" t="s">
        <v>31</v>
      </c>
      <c r="Z56" s="4">
        <v>814.06999658218751</v>
      </c>
    </row>
    <row r="57" spans="1:26" x14ac:dyDescent="0.3">
      <c r="A57" t="s">
        <v>23</v>
      </c>
      <c r="B57" t="s">
        <v>108</v>
      </c>
      <c r="C57" s="3">
        <v>79.855058340789427</v>
      </c>
      <c r="D57">
        <v>16</v>
      </c>
      <c r="E57" t="str" cm="1">
        <f t="array" ref="E57">_xlfn.IFS(supply[[#This Row],[Availability]]&lt;=20,"Low",supply[[#This Row],[Availability]]&lt;=50,"medium",supply[[#This Row],[Availability]]&lt;=100,"High")</f>
        <v>Low</v>
      </c>
      <c r="F57">
        <v>701</v>
      </c>
      <c r="G57" s="4">
        <v>2925.6751703038126</v>
      </c>
      <c r="H57" t="s">
        <v>54</v>
      </c>
      <c r="I57">
        <v>97</v>
      </c>
      <c r="J57" t="str" cm="1">
        <f t="array" ref="J57">_xlfn.IFS(supply[[#This Row],[Stocks]]&lt;20,"Low Stock",supply[[#This Row],[Stocks]]&lt;50,"Medium Stock", supply[[#This Row],[Stocks]]&lt;=100, "High Stock")</f>
        <v>High Stock</v>
      </c>
      <c r="K57">
        <v>11</v>
      </c>
      <c r="L57">
        <v>11</v>
      </c>
      <c r="M57">
        <v>5</v>
      </c>
      <c r="N57" t="s">
        <v>35</v>
      </c>
      <c r="O57" s="5">
        <v>5.0143649550309073</v>
      </c>
      <c r="P57" t="s">
        <v>60</v>
      </c>
      <c r="Q57" t="s">
        <v>49</v>
      </c>
      <c r="R57">
        <v>27</v>
      </c>
      <c r="S57">
        <v>918</v>
      </c>
      <c r="T57">
        <v>5</v>
      </c>
      <c r="U57" s="4">
        <v>30.323545256616502</v>
      </c>
      <c r="V57" t="s">
        <v>45</v>
      </c>
      <c r="W57" s="4">
        <v>4.5489196593963852</v>
      </c>
      <c r="X57" t="s">
        <v>55</v>
      </c>
      <c r="Y57" t="s">
        <v>31</v>
      </c>
      <c r="Z57" s="4">
        <v>323.01292795247883</v>
      </c>
    </row>
    <row r="58" spans="1:26" x14ac:dyDescent="0.3">
      <c r="A58" t="s">
        <v>32</v>
      </c>
      <c r="B58" t="s">
        <v>109</v>
      </c>
      <c r="C58" s="3">
        <v>20.986386037043378</v>
      </c>
      <c r="D58">
        <v>90</v>
      </c>
      <c r="E58" t="str" cm="1">
        <f t="array" ref="E58">_xlfn.IFS(supply[[#This Row],[Availability]]&lt;=20,"Low",supply[[#This Row],[Availability]]&lt;=50,"medium",supply[[#This Row],[Availability]]&lt;=100,"High")</f>
        <v>High</v>
      </c>
      <c r="F58">
        <v>93</v>
      </c>
      <c r="G58" s="4">
        <v>4767.020484344137</v>
      </c>
      <c r="H58" t="s">
        <v>25</v>
      </c>
      <c r="I58">
        <v>25</v>
      </c>
      <c r="J58" t="str" cm="1">
        <f t="array" ref="J58">_xlfn.IFS(supply[[#This Row],[Stocks]]&lt;20,"Low Stock",supply[[#This Row],[Stocks]]&lt;50,"Medium Stock", supply[[#This Row],[Stocks]]&lt;=100, "High Stock")</f>
        <v>Medium Stock</v>
      </c>
      <c r="K58">
        <v>23</v>
      </c>
      <c r="L58">
        <v>83</v>
      </c>
      <c r="M58">
        <v>5</v>
      </c>
      <c r="N58" t="s">
        <v>42</v>
      </c>
      <c r="O58" s="5">
        <v>1.7744297140717396</v>
      </c>
      <c r="P58" t="s">
        <v>38</v>
      </c>
      <c r="Q58" t="s">
        <v>28</v>
      </c>
      <c r="R58">
        <v>24</v>
      </c>
      <c r="S58">
        <v>826</v>
      </c>
      <c r="T58">
        <v>28</v>
      </c>
      <c r="U58" s="4">
        <v>12.836284572832753</v>
      </c>
      <c r="V58" t="s">
        <v>63</v>
      </c>
      <c r="W58" s="4">
        <v>1.1737554953874541</v>
      </c>
      <c r="X58" t="s">
        <v>39</v>
      </c>
      <c r="Y58" t="s">
        <v>31</v>
      </c>
      <c r="Z58" s="4">
        <v>832.21080870602168</v>
      </c>
    </row>
    <row r="59" spans="1:26" x14ac:dyDescent="0.3">
      <c r="A59" t="s">
        <v>23</v>
      </c>
      <c r="B59" t="s">
        <v>110</v>
      </c>
      <c r="C59" s="3">
        <v>49.263205350734154</v>
      </c>
      <c r="D59">
        <v>65</v>
      </c>
      <c r="E59" t="str" cm="1">
        <f t="array" ref="E59">_xlfn.IFS(supply[[#This Row],[Availability]]&lt;=20,"Low",supply[[#This Row],[Availability]]&lt;=50,"medium",supply[[#This Row],[Availability]]&lt;=100,"High")</f>
        <v>High</v>
      </c>
      <c r="F59">
        <v>227</v>
      </c>
      <c r="G59" s="4">
        <v>1605.8669003924058</v>
      </c>
      <c r="H59" t="s">
        <v>37</v>
      </c>
      <c r="I59">
        <v>5</v>
      </c>
      <c r="J59" t="str" cm="1">
        <f t="array" ref="J59">_xlfn.IFS(supply[[#This Row],[Stocks]]&lt;20,"Low Stock",supply[[#This Row],[Stocks]]&lt;50,"Medium Stock", supply[[#This Row],[Stocks]]&lt;=100, "High Stock")</f>
        <v>Low Stock</v>
      </c>
      <c r="K59">
        <v>18</v>
      </c>
      <c r="L59">
        <v>51</v>
      </c>
      <c r="M59">
        <v>1</v>
      </c>
      <c r="N59" t="s">
        <v>26</v>
      </c>
      <c r="O59" s="5">
        <v>9.1605585353818704</v>
      </c>
      <c r="P59" t="s">
        <v>60</v>
      </c>
      <c r="Q59" t="s">
        <v>49</v>
      </c>
      <c r="R59">
        <v>21</v>
      </c>
      <c r="S59">
        <v>588</v>
      </c>
      <c r="T59">
        <v>25</v>
      </c>
      <c r="U59" s="4">
        <v>67.779622987078142</v>
      </c>
      <c r="V59" t="s">
        <v>29</v>
      </c>
      <c r="W59" s="4">
        <v>2.511174830212707</v>
      </c>
      <c r="X59" t="s">
        <v>46</v>
      </c>
      <c r="Y59" t="s">
        <v>47</v>
      </c>
      <c r="Z59" s="4">
        <v>482.19123860252813</v>
      </c>
    </row>
    <row r="60" spans="1:26" x14ac:dyDescent="0.3">
      <c r="A60" t="s">
        <v>32</v>
      </c>
      <c r="B60" t="s">
        <v>111</v>
      </c>
      <c r="C60" s="3">
        <v>59.84156137728931</v>
      </c>
      <c r="D60">
        <v>81</v>
      </c>
      <c r="E60" t="str" cm="1">
        <f t="array" ref="E60">_xlfn.IFS(supply[[#This Row],[Availability]]&lt;=20,"Low",supply[[#This Row],[Availability]]&lt;=50,"medium",supply[[#This Row],[Availability]]&lt;=100,"High")</f>
        <v>High</v>
      </c>
      <c r="F60">
        <v>896</v>
      </c>
      <c r="G60" s="4">
        <v>2021.1498103371077</v>
      </c>
      <c r="H60" t="s">
        <v>25</v>
      </c>
      <c r="I60">
        <v>10</v>
      </c>
      <c r="J60" t="str" cm="1">
        <f t="array" ref="J60">_xlfn.IFS(supply[[#This Row],[Stocks]]&lt;20,"Low Stock",supply[[#This Row],[Stocks]]&lt;50,"Medium Stock", supply[[#This Row],[Stocks]]&lt;=100, "High Stock")</f>
        <v>Low Stock</v>
      </c>
      <c r="K60">
        <v>5</v>
      </c>
      <c r="L60">
        <v>44</v>
      </c>
      <c r="M60">
        <v>7</v>
      </c>
      <c r="N60" t="s">
        <v>35</v>
      </c>
      <c r="O60" s="5">
        <v>4.9384385647120901</v>
      </c>
      <c r="P60" t="s">
        <v>27</v>
      </c>
      <c r="Q60" t="s">
        <v>49</v>
      </c>
      <c r="R60">
        <v>18</v>
      </c>
      <c r="S60">
        <v>396</v>
      </c>
      <c r="T60">
        <v>7</v>
      </c>
      <c r="U60" s="4">
        <v>65.047415094691459</v>
      </c>
      <c r="V60" t="s">
        <v>45</v>
      </c>
      <c r="W60" s="4">
        <v>1.7303747198591968</v>
      </c>
      <c r="X60" t="s">
        <v>30</v>
      </c>
      <c r="Y60" t="s">
        <v>31</v>
      </c>
      <c r="Z60" s="4">
        <v>110.36433523136472</v>
      </c>
    </row>
    <row r="61" spans="1:26" x14ac:dyDescent="0.3">
      <c r="A61" t="s">
        <v>56</v>
      </c>
      <c r="B61" t="s">
        <v>112</v>
      </c>
      <c r="C61" s="3">
        <v>63.828398347710966</v>
      </c>
      <c r="D61">
        <v>30</v>
      </c>
      <c r="E61" t="str" cm="1">
        <f t="array" ref="E61">_xlfn.IFS(supply[[#This Row],[Availability]]&lt;=20,"Low",supply[[#This Row],[Availability]]&lt;=50,"medium",supply[[#This Row],[Availability]]&lt;=100,"High")</f>
        <v>medium</v>
      </c>
      <c r="F61">
        <v>484</v>
      </c>
      <c r="G61" s="4">
        <v>1061.618523013288</v>
      </c>
      <c r="H61" t="s">
        <v>25</v>
      </c>
      <c r="I61">
        <v>100</v>
      </c>
      <c r="J61" t="str" cm="1">
        <f t="array" ref="J61">_xlfn.IFS(supply[[#This Row],[Stocks]]&lt;20,"Low Stock",supply[[#This Row],[Stocks]]&lt;50,"Medium Stock", supply[[#This Row],[Stocks]]&lt;=100, "High Stock")</f>
        <v>High Stock</v>
      </c>
      <c r="K61">
        <v>16</v>
      </c>
      <c r="L61">
        <v>26</v>
      </c>
      <c r="M61">
        <v>7</v>
      </c>
      <c r="N61" t="s">
        <v>26</v>
      </c>
      <c r="O61" s="5">
        <v>7.2937225968677284</v>
      </c>
      <c r="P61" t="s">
        <v>38</v>
      </c>
      <c r="Q61" t="s">
        <v>44</v>
      </c>
      <c r="R61">
        <v>11</v>
      </c>
      <c r="S61">
        <v>176</v>
      </c>
      <c r="T61">
        <v>4</v>
      </c>
      <c r="U61" s="4">
        <v>1.900762243519458</v>
      </c>
      <c r="V61" t="s">
        <v>45</v>
      </c>
      <c r="W61" s="4">
        <v>0.4471940154638232</v>
      </c>
      <c r="X61" t="s">
        <v>39</v>
      </c>
      <c r="Y61" t="s">
        <v>47</v>
      </c>
      <c r="Z61" s="4">
        <v>312.57427361009331</v>
      </c>
    </row>
    <row r="62" spans="1:26" x14ac:dyDescent="0.3">
      <c r="A62" t="s">
        <v>32</v>
      </c>
      <c r="B62" t="s">
        <v>113</v>
      </c>
      <c r="C62" s="3">
        <v>17.028027920188702</v>
      </c>
      <c r="D62">
        <v>16</v>
      </c>
      <c r="E62" t="str" cm="1">
        <f t="array" ref="E62">_xlfn.IFS(supply[[#This Row],[Availability]]&lt;=20,"Low",supply[[#This Row],[Availability]]&lt;=50,"medium",supply[[#This Row],[Availability]]&lt;=100,"High")</f>
        <v>Low</v>
      </c>
      <c r="F62">
        <v>380</v>
      </c>
      <c r="G62" s="4">
        <v>8864.0843495864356</v>
      </c>
      <c r="H62" t="s">
        <v>34</v>
      </c>
      <c r="I62">
        <v>41</v>
      </c>
      <c r="J62" t="str" cm="1">
        <f t="array" ref="J62">_xlfn.IFS(supply[[#This Row],[Stocks]]&lt;20,"Low Stock",supply[[#This Row],[Stocks]]&lt;50,"Medium Stock", supply[[#This Row],[Stocks]]&lt;=100, "High Stock")</f>
        <v>Medium Stock</v>
      </c>
      <c r="K62">
        <v>27</v>
      </c>
      <c r="L62">
        <v>72</v>
      </c>
      <c r="M62">
        <v>8</v>
      </c>
      <c r="N62" t="s">
        <v>42</v>
      </c>
      <c r="O62" s="5">
        <v>4.3813681581023145</v>
      </c>
      <c r="P62" t="s">
        <v>51</v>
      </c>
      <c r="Q62" t="s">
        <v>28</v>
      </c>
      <c r="R62">
        <v>29</v>
      </c>
      <c r="S62">
        <v>929</v>
      </c>
      <c r="T62">
        <v>24</v>
      </c>
      <c r="U62" s="4">
        <v>87.213057815135684</v>
      </c>
      <c r="V62" t="s">
        <v>45</v>
      </c>
      <c r="W62" s="4">
        <v>2.8530906166490539</v>
      </c>
      <c r="X62" t="s">
        <v>46</v>
      </c>
      <c r="Y62" t="s">
        <v>47</v>
      </c>
      <c r="Z62" s="4">
        <v>430.16909697513654</v>
      </c>
    </row>
    <row r="63" spans="1:26" x14ac:dyDescent="0.3">
      <c r="A63" t="s">
        <v>23</v>
      </c>
      <c r="B63" t="s">
        <v>114</v>
      </c>
      <c r="C63" s="3">
        <v>52.028749903294923</v>
      </c>
      <c r="D63">
        <v>23</v>
      </c>
      <c r="E63" t="str" cm="1">
        <f t="array" ref="E63">_xlfn.IFS(supply[[#This Row],[Availability]]&lt;=20,"Low",supply[[#This Row],[Availability]]&lt;=50,"medium",supply[[#This Row],[Availability]]&lt;=100,"High")</f>
        <v>medium</v>
      </c>
      <c r="F63">
        <v>117</v>
      </c>
      <c r="G63" s="4">
        <v>6885.5893508962527</v>
      </c>
      <c r="H63" t="s">
        <v>37</v>
      </c>
      <c r="I63">
        <v>32</v>
      </c>
      <c r="J63" t="str" cm="1">
        <f t="array" ref="J63">_xlfn.IFS(supply[[#This Row],[Stocks]]&lt;20,"Low Stock",supply[[#This Row],[Stocks]]&lt;50,"Medium Stock", supply[[#This Row],[Stocks]]&lt;=100, "High Stock")</f>
        <v>Medium Stock</v>
      </c>
      <c r="K63">
        <v>23</v>
      </c>
      <c r="L63">
        <v>36</v>
      </c>
      <c r="M63">
        <v>7</v>
      </c>
      <c r="N63" t="s">
        <v>42</v>
      </c>
      <c r="O63" s="5">
        <v>9.0303404225219488</v>
      </c>
      <c r="P63" t="s">
        <v>51</v>
      </c>
      <c r="Q63" t="s">
        <v>44</v>
      </c>
      <c r="R63">
        <v>14</v>
      </c>
      <c r="S63">
        <v>480</v>
      </c>
      <c r="T63">
        <v>12</v>
      </c>
      <c r="U63" s="4">
        <v>78.702393968878894</v>
      </c>
      <c r="V63" t="s">
        <v>45</v>
      </c>
      <c r="W63" s="4">
        <v>4.3674705382050529</v>
      </c>
      <c r="X63" t="s">
        <v>39</v>
      </c>
      <c r="Y63" t="s">
        <v>47</v>
      </c>
      <c r="Z63" s="4">
        <v>164.36652824341942</v>
      </c>
    </row>
    <row r="64" spans="1:26" x14ac:dyDescent="0.3">
      <c r="A64" t="s">
        <v>56</v>
      </c>
      <c r="B64" t="s">
        <v>115</v>
      </c>
      <c r="C64" s="3">
        <v>72.796353955587364</v>
      </c>
      <c r="D64">
        <v>89</v>
      </c>
      <c r="E64" t="str" cm="1">
        <f t="array" ref="E64">_xlfn.IFS(supply[[#This Row],[Availability]]&lt;=20,"Low",supply[[#This Row],[Availability]]&lt;=50,"medium",supply[[#This Row],[Availability]]&lt;=100,"High")</f>
        <v>High</v>
      </c>
      <c r="F64">
        <v>270</v>
      </c>
      <c r="G64" s="4">
        <v>3899.7468337292244</v>
      </c>
      <c r="H64" t="s">
        <v>37</v>
      </c>
      <c r="I64">
        <v>86</v>
      </c>
      <c r="J64" t="str" cm="1">
        <f t="array" ref="J64">_xlfn.IFS(supply[[#This Row],[Stocks]]&lt;20,"Low Stock",supply[[#This Row],[Stocks]]&lt;50,"Medium Stock", supply[[#This Row],[Stocks]]&lt;=100, "High Stock")</f>
        <v>High Stock</v>
      </c>
      <c r="K64">
        <v>2</v>
      </c>
      <c r="L64">
        <v>40</v>
      </c>
      <c r="M64">
        <v>7</v>
      </c>
      <c r="N64" t="s">
        <v>42</v>
      </c>
      <c r="O64" s="5">
        <v>7.2917013887767759</v>
      </c>
      <c r="P64" t="s">
        <v>60</v>
      </c>
      <c r="Q64" t="s">
        <v>28</v>
      </c>
      <c r="R64">
        <v>13</v>
      </c>
      <c r="S64">
        <v>751</v>
      </c>
      <c r="T64">
        <v>14</v>
      </c>
      <c r="U64" s="4">
        <v>21.048642725168644</v>
      </c>
      <c r="V64" t="s">
        <v>63</v>
      </c>
      <c r="W64" s="4">
        <v>1.8740014040443747</v>
      </c>
      <c r="X64" t="s">
        <v>55</v>
      </c>
      <c r="Y64" t="s">
        <v>40</v>
      </c>
      <c r="Z64" s="4">
        <v>320.84651575911158</v>
      </c>
    </row>
    <row r="65" spans="1:26" x14ac:dyDescent="0.3">
      <c r="A65" t="s">
        <v>32</v>
      </c>
      <c r="B65" t="s">
        <v>116</v>
      </c>
      <c r="C65" s="3">
        <v>13.017376785287857</v>
      </c>
      <c r="D65">
        <v>55</v>
      </c>
      <c r="E65" t="str" cm="1">
        <f t="array" ref="E65">_xlfn.IFS(supply[[#This Row],[Availability]]&lt;=20,"Low",supply[[#This Row],[Availability]]&lt;=50,"medium",supply[[#This Row],[Availability]]&lt;=100,"High")</f>
        <v>High</v>
      </c>
      <c r="F65">
        <v>246</v>
      </c>
      <c r="G65" s="4">
        <v>4256.9491408502254</v>
      </c>
      <c r="H65" t="s">
        <v>25</v>
      </c>
      <c r="I65">
        <v>54</v>
      </c>
      <c r="J65" t="str" cm="1">
        <f t="array" ref="J65">_xlfn.IFS(supply[[#This Row],[Stocks]]&lt;20,"Low Stock",supply[[#This Row],[Stocks]]&lt;50,"Medium Stock", supply[[#This Row],[Stocks]]&lt;=100, "High Stock")</f>
        <v>High Stock</v>
      </c>
      <c r="K65">
        <v>19</v>
      </c>
      <c r="L65">
        <v>10</v>
      </c>
      <c r="M65">
        <v>4</v>
      </c>
      <c r="N65" t="s">
        <v>35</v>
      </c>
      <c r="O65" s="5">
        <v>2.45793352798733</v>
      </c>
      <c r="P65" t="s">
        <v>27</v>
      </c>
      <c r="Q65" t="s">
        <v>52</v>
      </c>
      <c r="R65">
        <v>18</v>
      </c>
      <c r="S65">
        <v>736</v>
      </c>
      <c r="T65">
        <v>10</v>
      </c>
      <c r="U65" s="4">
        <v>20.075003975630484</v>
      </c>
      <c r="V65" t="s">
        <v>29</v>
      </c>
      <c r="W65" s="4">
        <v>3.6328432903821337</v>
      </c>
      <c r="X65" t="s">
        <v>55</v>
      </c>
      <c r="Y65" t="s">
        <v>47</v>
      </c>
      <c r="Z65" s="4">
        <v>687.28617786641735</v>
      </c>
    </row>
    <row r="66" spans="1:26" x14ac:dyDescent="0.3">
      <c r="A66" t="s">
        <v>32</v>
      </c>
      <c r="B66" t="s">
        <v>117</v>
      </c>
      <c r="C66" s="3">
        <v>89.634095608135326</v>
      </c>
      <c r="D66">
        <v>11</v>
      </c>
      <c r="E66" t="str" cm="1">
        <f t="array" ref="E66">_xlfn.IFS(supply[[#This Row],[Availability]]&lt;=20,"Low",supply[[#This Row],[Availability]]&lt;=50,"medium",supply[[#This Row],[Availability]]&lt;=100,"High")</f>
        <v>Low</v>
      </c>
      <c r="F66">
        <v>134</v>
      </c>
      <c r="G66" s="4">
        <v>8458.7308783671779</v>
      </c>
      <c r="H66" t="s">
        <v>34</v>
      </c>
      <c r="I66">
        <v>73</v>
      </c>
      <c r="J66" t="str" cm="1">
        <f t="array" ref="J66">_xlfn.IFS(supply[[#This Row],[Stocks]]&lt;20,"Low Stock",supply[[#This Row],[Stocks]]&lt;50,"Medium Stock", supply[[#This Row],[Stocks]]&lt;=100, "High Stock")</f>
        <v>High Stock</v>
      </c>
      <c r="K66">
        <v>27</v>
      </c>
      <c r="L66">
        <v>75</v>
      </c>
      <c r="M66">
        <v>6</v>
      </c>
      <c r="N66" t="s">
        <v>42</v>
      </c>
      <c r="O66" s="5">
        <v>4.5853534681946524</v>
      </c>
      <c r="P66" t="s">
        <v>38</v>
      </c>
      <c r="Q66" t="s">
        <v>49</v>
      </c>
      <c r="R66">
        <v>17</v>
      </c>
      <c r="S66">
        <v>328</v>
      </c>
      <c r="T66">
        <v>6</v>
      </c>
      <c r="U66" s="4">
        <v>8.6930424258772874</v>
      </c>
      <c r="V66" t="s">
        <v>45</v>
      </c>
      <c r="W66" s="4">
        <v>0.15948631471751462</v>
      </c>
      <c r="X66" t="s">
        <v>39</v>
      </c>
      <c r="Y66" t="s">
        <v>40</v>
      </c>
      <c r="Z66" s="4">
        <v>771.22508468115745</v>
      </c>
    </row>
    <row r="67" spans="1:26" x14ac:dyDescent="0.3">
      <c r="A67" t="s">
        <v>32</v>
      </c>
      <c r="B67" t="s">
        <v>118</v>
      </c>
      <c r="C67" s="3">
        <v>33.697717206643127</v>
      </c>
      <c r="D67">
        <v>72</v>
      </c>
      <c r="E67" t="str" cm="1">
        <f t="array" ref="E67">_xlfn.IFS(supply[[#This Row],[Availability]]&lt;=20,"Low",supply[[#This Row],[Availability]]&lt;=50,"medium",supply[[#This Row],[Availability]]&lt;=100,"High")</f>
        <v>High</v>
      </c>
      <c r="F67">
        <v>457</v>
      </c>
      <c r="G67" s="4">
        <v>8354.5796864819949</v>
      </c>
      <c r="H67" t="s">
        <v>54</v>
      </c>
      <c r="I67">
        <v>57</v>
      </c>
      <c r="J67" t="str" cm="1">
        <f t="array" ref="J67">_xlfn.IFS(supply[[#This Row],[Stocks]]&lt;20,"Low Stock",supply[[#This Row],[Stocks]]&lt;50,"Medium Stock", supply[[#This Row],[Stocks]]&lt;=100, "High Stock")</f>
        <v>High Stock</v>
      </c>
      <c r="K67">
        <v>24</v>
      </c>
      <c r="L67">
        <v>54</v>
      </c>
      <c r="M67">
        <v>8</v>
      </c>
      <c r="N67" t="s">
        <v>42</v>
      </c>
      <c r="O67" s="5">
        <v>6.5805413478845951</v>
      </c>
      <c r="P67" t="s">
        <v>43</v>
      </c>
      <c r="Q67" t="s">
        <v>44</v>
      </c>
      <c r="R67">
        <v>16</v>
      </c>
      <c r="S67">
        <v>358</v>
      </c>
      <c r="T67">
        <v>21</v>
      </c>
      <c r="U67" s="4">
        <v>1.5972227430506774</v>
      </c>
      <c r="V67" t="s">
        <v>45</v>
      </c>
      <c r="W67" s="4">
        <v>4.911095954842331</v>
      </c>
      <c r="X67" t="s">
        <v>46</v>
      </c>
      <c r="Y67" t="s">
        <v>40</v>
      </c>
      <c r="Z67" s="4">
        <v>555.85910367174347</v>
      </c>
    </row>
    <row r="68" spans="1:26" x14ac:dyDescent="0.3">
      <c r="A68" t="s">
        <v>32</v>
      </c>
      <c r="B68" t="s">
        <v>119</v>
      </c>
      <c r="C68" s="3">
        <v>26.034869773962086</v>
      </c>
      <c r="D68">
        <v>52</v>
      </c>
      <c r="E68" t="str" cm="1">
        <f t="array" ref="E68">_xlfn.IFS(supply[[#This Row],[Availability]]&lt;=20,"Low",supply[[#This Row],[Availability]]&lt;=50,"medium",supply[[#This Row],[Availability]]&lt;=100,"High")</f>
        <v>High</v>
      </c>
      <c r="F68">
        <v>704</v>
      </c>
      <c r="G68" s="4">
        <v>8367.721618020154</v>
      </c>
      <c r="H68" t="s">
        <v>34</v>
      </c>
      <c r="I68">
        <v>13</v>
      </c>
      <c r="J68" t="str" cm="1">
        <f t="array" ref="J68">_xlfn.IFS(supply[[#This Row],[Stocks]]&lt;20,"Low Stock",supply[[#This Row],[Stocks]]&lt;50,"Medium Stock", supply[[#This Row],[Stocks]]&lt;=100, "High Stock")</f>
        <v>Low Stock</v>
      </c>
      <c r="K68">
        <v>17</v>
      </c>
      <c r="L68">
        <v>19</v>
      </c>
      <c r="M68">
        <v>8</v>
      </c>
      <c r="N68" t="s">
        <v>35</v>
      </c>
      <c r="O68" s="5">
        <v>2.2161427287713633</v>
      </c>
      <c r="P68" t="s">
        <v>43</v>
      </c>
      <c r="Q68" t="s">
        <v>44</v>
      </c>
      <c r="R68">
        <v>24</v>
      </c>
      <c r="S68">
        <v>867</v>
      </c>
      <c r="T68">
        <v>28</v>
      </c>
      <c r="U68" s="4">
        <v>42.084436738309961</v>
      </c>
      <c r="V68" t="s">
        <v>45</v>
      </c>
      <c r="W68" s="4">
        <v>3.4480632883402618</v>
      </c>
      <c r="X68" t="s">
        <v>30</v>
      </c>
      <c r="Y68" t="s">
        <v>47</v>
      </c>
      <c r="Z68" s="4">
        <v>393.84334857842788</v>
      </c>
    </row>
    <row r="69" spans="1:26" x14ac:dyDescent="0.3">
      <c r="A69" t="s">
        <v>32</v>
      </c>
      <c r="B69" t="s">
        <v>120</v>
      </c>
      <c r="C69" s="3">
        <v>87.755432354001073</v>
      </c>
      <c r="D69">
        <v>16</v>
      </c>
      <c r="E69" t="str" cm="1">
        <f t="array" ref="E69">_xlfn.IFS(supply[[#This Row],[Availability]]&lt;=20,"Low",supply[[#This Row],[Availability]]&lt;=50,"medium",supply[[#This Row],[Availability]]&lt;=100,"High")</f>
        <v>Low</v>
      </c>
      <c r="F69">
        <v>513</v>
      </c>
      <c r="G69" s="4">
        <v>9473.7980325083372</v>
      </c>
      <c r="H69" t="s">
        <v>37</v>
      </c>
      <c r="I69">
        <v>12</v>
      </c>
      <c r="J69" t="str" cm="1">
        <f t="array" ref="J69">_xlfn.IFS(supply[[#This Row],[Stocks]]&lt;20,"Low Stock",supply[[#This Row],[Stocks]]&lt;50,"Medium Stock", supply[[#This Row],[Stocks]]&lt;=100, "High Stock")</f>
        <v>Low Stock</v>
      </c>
      <c r="K69">
        <v>9</v>
      </c>
      <c r="L69">
        <v>71</v>
      </c>
      <c r="M69">
        <v>9</v>
      </c>
      <c r="N69" t="s">
        <v>42</v>
      </c>
      <c r="O69" s="5">
        <v>9.147811544710633</v>
      </c>
      <c r="P69" t="s">
        <v>38</v>
      </c>
      <c r="Q69" t="s">
        <v>28</v>
      </c>
      <c r="R69">
        <v>10</v>
      </c>
      <c r="S69">
        <v>198</v>
      </c>
      <c r="T69">
        <v>11</v>
      </c>
      <c r="U69" s="4">
        <v>7.0578761469782307</v>
      </c>
      <c r="V69" t="s">
        <v>63</v>
      </c>
      <c r="W69" s="4">
        <v>0.13195544431181483</v>
      </c>
      <c r="X69" t="s">
        <v>55</v>
      </c>
      <c r="Y69" t="s">
        <v>40</v>
      </c>
      <c r="Z69" s="4">
        <v>169.2718013847869</v>
      </c>
    </row>
    <row r="70" spans="1:26" x14ac:dyDescent="0.3">
      <c r="A70" t="s">
        <v>23</v>
      </c>
      <c r="B70" t="s">
        <v>121</v>
      </c>
      <c r="C70" s="3">
        <v>37.931812382790319</v>
      </c>
      <c r="D70">
        <v>29</v>
      </c>
      <c r="E70" t="str" cm="1">
        <f t="array" ref="E70">_xlfn.IFS(supply[[#This Row],[Availability]]&lt;=20,"Low",supply[[#This Row],[Availability]]&lt;=50,"medium",supply[[#This Row],[Availability]]&lt;=100,"High")</f>
        <v>medium</v>
      </c>
      <c r="F70">
        <v>163</v>
      </c>
      <c r="G70" s="4">
        <v>3550.2184327809919</v>
      </c>
      <c r="H70" t="s">
        <v>25</v>
      </c>
      <c r="I70">
        <v>0</v>
      </c>
      <c r="J70" t="str" cm="1">
        <f t="array" ref="J70">_xlfn.IFS(supply[[#This Row],[Stocks]]&lt;20,"Low Stock",supply[[#This Row],[Stocks]]&lt;50,"Medium Stock", supply[[#This Row],[Stocks]]&lt;=100, "High Stock")</f>
        <v>Low Stock</v>
      </c>
      <c r="K70">
        <v>8</v>
      </c>
      <c r="L70">
        <v>58</v>
      </c>
      <c r="M70">
        <v>8</v>
      </c>
      <c r="N70" t="s">
        <v>26</v>
      </c>
      <c r="O70" s="5">
        <v>1.1942518648849991</v>
      </c>
      <c r="P70" t="s">
        <v>60</v>
      </c>
      <c r="Q70" t="s">
        <v>52</v>
      </c>
      <c r="R70">
        <v>2</v>
      </c>
      <c r="S70">
        <v>375</v>
      </c>
      <c r="T70">
        <v>18</v>
      </c>
      <c r="U70" s="4">
        <v>97.113581563462205</v>
      </c>
      <c r="V70" t="s">
        <v>45</v>
      </c>
      <c r="W70" s="4">
        <v>1.9834678721741801</v>
      </c>
      <c r="X70" t="s">
        <v>46</v>
      </c>
      <c r="Y70" t="s">
        <v>47</v>
      </c>
      <c r="Z70" s="4">
        <v>299.70630311810316</v>
      </c>
    </row>
    <row r="71" spans="1:26" x14ac:dyDescent="0.3">
      <c r="A71" t="s">
        <v>32</v>
      </c>
      <c r="B71" t="s">
        <v>122</v>
      </c>
      <c r="C71" s="3">
        <v>54.865528517069791</v>
      </c>
      <c r="D71">
        <v>62</v>
      </c>
      <c r="E71" t="str" cm="1">
        <f t="array" ref="E71">_xlfn.IFS(supply[[#This Row],[Availability]]&lt;=20,"Low",supply[[#This Row],[Availability]]&lt;=50,"medium",supply[[#This Row],[Availability]]&lt;=100,"High")</f>
        <v>High</v>
      </c>
      <c r="F71">
        <v>511</v>
      </c>
      <c r="G71" s="4">
        <v>1752.3810874841247</v>
      </c>
      <c r="H71" t="s">
        <v>25</v>
      </c>
      <c r="I71">
        <v>95</v>
      </c>
      <c r="J71" t="str" cm="1">
        <f t="array" ref="J71">_xlfn.IFS(supply[[#This Row],[Stocks]]&lt;20,"Low Stock",supply[[#This Row],[Stocks]]&lt;50,"Medium Stock", supply[[#This Row],[Stocks]]&lt;=100, "High Stock")</f>
        <v>High Stock</v>
      </c>
      <c r="K71">
        <v>1</v>
      </c>
      <c r="L71">
        <v>27</v>
      </c>
      <c r="M71">
        <v>3</v>
      </c>
      <c r="N71" t="s">
        <v>26</v>
      </c>
      <c r="O71" s="5">
        <v>9.7052867901203488</v>
      </c>
      <c r="P71" t="s">
        <v>51</v>
      </c>
      <c r="Q71" t="s">
        <v>44</v>
      </c>
      <c r="R71">
        <v>9</v>
      </c>
      <c r="S71">
        <v>862</v>
      </c>
      <c r="T71">
        <v>7</v>
      </c>
      <c r="U71" s="4">
        <v>77.627765812748166</v>
      </c>
      <c r="V71" t="s">
        <v>29</v>
      </c>
      <c r="W71" s="4">
        <v>1.3623879886491086</v>
      </c>
      <c r="X71" t="s">
        <v>39</v>
      </c>
      <c r="Y71" t="s">
        <v>47</v>
      </c>
      <c r="Z71" s="4">
        <v>207.66320620857562</v>
      </c>
    </row>
    <row r="72" spans="1:26" x14ac:dyDescent="0.3">
      <c r="A72" t="s">
        <v>23</v>
      </c>
      <c r="B72" t="s">
        <v>123</v>
      </c>
      <c r="C72" s="3">
        <v>47.914541824058766</v>
      </c>
      <c r="D72">
        <v>90</v>
      </c>
      <c r="E72" t="str" cm="1">
        <f t="array" ref="E72">_xlfn.IFS(supply[[#This Row],[Availability]]&lt;=20,"Low",supply[[#This Row],[Availability]]&lt;=50,"medium",supply[[#This Row],[Availability]]&lt;=100,"High")</f>
        <v>High</v>
      </c>
      <c r="F72">
        <v>32</v>
      </c>
      <c r="G72" s="4">
        <v>7014.8879872033885</v>
      </c>
      <c r="H72" t="s">
        <v>34</v>
      </c>
      <c r="I72">
        <v>10</v>
      </c>
      <c r="J72" t="str" cm="1">
        <f t="array" ref="J72">_xlfn.IFS(supply[[#This Row],[Stocks]]&lt;20,"Low Stock",supply[[#This Row],[Stocks]]&lt;50,"Medium Stock", supply[[#This Row],[Stocks]]&lt;=100, "High Stock")</f>
        <v>Low Stock</v>
      </c>
      <c r="K72">
        <v>12</v>
      </c>
      <c r="L72">
        <v>22</v>
      </c>
      <c r="M72">
        <v>4</v>
      </c>
      <c r="N72" t="s">
        <v>26</v>
      </c>
      <c r="O72" s="5">
        <v>6.3157177546007226</v>
      </c>
      <c r="P72" t="s">
        <v>38</v>
      </c>
      <c r="Q72" t="s">
        <v>52</v>
      </c>
      <c r="R72">
        <v>22</v>
      </c>
      <c r="S72">
        <v>775</v>
      </c>
      <c r="T72">
        <v>16</v>
      </c>
      <c r="U72" s="4">
        <v>11.440781823761265</v>
      </c>
      <c r="V72" t="s">
        <v>63</v>
      </c>
      <c r="W72" s="4">
        <v>1.8305755986122314</v>
      </c>
      <c r="X72" t="s">
        <v>30</v>
      </c>
      <c r="Y72" t="s">
        <v>40</v>
      </c>
      <c r="Z72" s="4">
        <v>183.27289874871101</v>
      </c>
    </row>
    <row r="73" spans="1:26" x14ac:dyDescent="0.3">
      <c r="A73" t="s">
        <v>56</v>
      </c>
      <c r="B73" t="s">
        <v>124</v>
      </c>
      <c r="C73" s="3">
        <v>6.3815331627479663</v>
      </c>
      <c r="D73">
        <v>14</v>
      </c>
      <c r="E73" t="str" cm="1">
        <f t="array" ref="E73">_xlfn.IFS(supply[[#This Row],[Availability]]&lt;=20,"Low",supply[[#This Row],[Availability]]&lt;=50,"medium",supply[[#This Row],[Availability]]&lt;=100,"High")</f>
        <v>Low</v>
      </c>
      <c r="F73">
        <v>637</v>
      </c>
      <c r="G73" s="4">
        <v>8180.3370854254426</v>
      </c>
      <c r="H73" t="s">
        <v>34</v>
      </c>
      <c r="I73">
        <v>76</v>
      </c>
      <c r="J73" t="str" cm="1">
        <f t="array" ref="J73">_xlfn.IFS(supply[[#This Row],[Stocks]]&lt;20,"Low Stock",supply[[#This Row],[Stocks]]&lt;50,"Medium Stock", supply[[#This Row],[Stocks]]&lt;=100, "High Stock")</f>
        <v>High Stock</v>
      </c>
      <c r="K73">
        <v>2</v>
      </c>
      <c r="L73">
        <v>26</v>
      </c>
      <c r="M73">
        <v>6</v>
      </c>
      <c r="N73" t="s">
        <v>35</v>
      </c>
      <c r="O73" s="5">
        <v>9.2281903170525172</v>
      </c>
      <c r="P73" t="s">
        <v>60</v>
      </c>
      <c r="Q73" t="s">
        <v>52</v>
      </c>
      <c r="R73">
        <v>2</v>
      </c>
      <c r="S73">
        <v>258</v>
      </c>
      <c r="T73">
        <v>10</v>
      </c>
      <c r="U73" s="4">
        <v>30.661677477859556</v>
      </c>
      <c r="V73" t="s">
        <v>29</v>
      </c>
      <c r="W73" s="4">
        <v>2.0787506078749689</v>
      </c>
      <c r="X73" t="s">
        <v>30</v>
      </c>
      <c r="Y73" t="s">
        <v>47</v>
      </c>
      <c r="Z73" s="4">
        <v>405.16706788885585</v>
      </c>
    </row>
    <row r="74" spans="1:26" x14ac:dyDescent="0.3">
      <c r="A74" t="s">
        <v>56</v>
      </c>
      <c r="B74" t="s">
        <v>125</v>
      </c>
      <c r="C74" s="3">
        <v>90.204427520528071</v>
      </c>
      <c r="D74">
        <v>88</v>
      </c>
      <c r="E74" t="str" cm="1">
        <f t="array" ref="E74">_xlfn.IFS(supply[[#This Row],[Availability]]&lt;=20,"Low",supply[[#This Row],[Availability]]&lt;=50,"medium",supply[[#This Row],[Availability]]&lt;=100,"High")</f>
        <v>High</v>
      </c>
      <c r="F74">
        <v>478</v>
      </c>
      <c r="G74" s="4">
        <v>2633.1219813122557</v>
      </c>
      <c r="H74" t="s">
        <v>25</v>
      </c>
      <c r="I74">
        <v>57</v>
      </c>
      <c r="J74" t="str" cm="1">
        <f t="array" ref="J74">_xlfn.IFS(supply[[#This Row],[Stocks]]&lt;20,"Low Stock",supply[[#This Row],[Stocks]]&lt;50,"Medium Stock", supply[[#This Row],[Stocks]]&lt;=100, "High Stock")</f>
        <v>High Stock</v>
      </c>
      <c r="K74">
        <v>29</v>
      </c>
      <c r="L74">
        <v>77</v>
      </c>
      <c r="M74">
        <v>9</v>
      </c>
      <c r="N74" t="s">
        <v>35</v>
      </c>
      <c r="O74" s="5">
        <v>6.5996141596895441</v>
      </c>
      <c r="P74" t="s">
        <v>38</v>
      </c>
      <c r="Q74" t="s">
        <v>52</v>
      </c>
      <c r="R74">
        <v>21</v>
      </c>
      <c r="S74">
        <v>152</v>
      </c>
      <c r="T74">
        <v>11</v>
      </c>
      <c r="U74" s="4">
        <v>55.760492895244212</v>
      </c>
      <c r="V74" t="s">
        <v>29</v>
      </c>
      <c r="W74" s="4">
        <v>3.2133296074383089</v>
      </c>
      <c r="X74" t="s">
        <v>46</v>
      </c>
      <c r="Y74" t="s">
        <v>31</v>
      </c>
      <c r="Z74" s="4">
        <v>677.9445698461833</v>
      </c>
    </row>
    <row r="75" spans="1:26" x14ac:dyDescent="0.3">
      <c r="A75" t="s">
        <v>56</v>
      </c>
      <c r="B75" t="s">
        <v>126</v>
      </c>
      <c r="C75" s="3">
        <v>83.851017681304597</v>
      </c>
      <c r="D75">
        <v>41</v>
      </c>
      <c r="E75" t="str" cm="1">
        <f t="array" ref="E75">_xlfn.IFS(supply[[#This Row],[Availability]]&lt;=20,"Low",supply[[#This Row],[Availability]]&lt;=50,"medium",supply[[#This Row],[Availability]]&lt;=100,"High")</f>
        <v>medium</v>
      </c>
      <c r="F75">
        <v>375</v>
      </c>
      <c r="G75" s="4">
        <v>7910.8869161406856</v>
      </c>
      <c r="H75" t="s">
        <v>54</v>
      </c>
      <c r="I75">
        <v>17</v>
      </c>
      <c r="J75" t="str" cm="1">
        <f t="array" ref="J75">_xlfn.IFS(supply[[#This Row],[Stocks]]&lt;20,"Low Stock",supply[[#This Row],[Stocks]]&lt;50,"Medium Stock", supply[[#This Row],[Stocks]]&lt;=100, "High Stock")</f>
        <v>Low Stock</v>
      </c>
      <c r="K75">
        <v>25</v>
      </c>
      <c r="L75">
        <v>66</v>
      </c>
      <c r="M75">
        <v>5</v>
      </c>
      <c r="N75" t="s">
        <v>26</v>
      </c>
      <c r="O75" s="5">
        <v>1.5129368369160772</v>
      </c>
      <c r="P75" t="s">
        <v>51</v>
      </c>
      <c r="Q75" t="s">
        <v>61</v>
      </c>
      <c r="R75">
        <v>13</v>
      </c>
      <c r="S75">
        <v>444</v>
      </c>
      <c r="T75">
        <v>4</v>
      </c>
      <c r="U75" s="4">
        <v>46.870238797617155</v>
      </c>
      <c r="V75" t="s">
        <v>45</v>
      </c>
      <c r="W75" s="4">
        <v>4.6205460645137064</v>
      </c>
      <c r="X75" t="s">
        <v>30</v>
      </c>
      <c r="Y75" t="s">
        <v>47</v>
      </c>
      <c r="Z75" s="4">
        <v>866.4728001296578</v>
      </c>
    </row>
    <row r="76" spans="1:26" x14ac:dyDescent="0.3">
      <c r="A76" t="s">
        <v>23</v>
      </c>
      <c r="B76" t="s">
        <v>127</v>
      </c>
      <c r="C76" s="3">
        <v>3.1700114135661548</v>
      </c>
      <c r="D76">
        <v>64</v>
      </c>
      <c r="E76" t="str" cm="1">
        <f t="array" ref="E76">_xlfn.IFS(supply[[#This Row],[Availability]]&lt;=20,"Low",supply[[#This Row],[Availability]]&lt;=50,"medium",supply[[#This Row],[Availability]]&lt;=100,"High")</f>
        <v>High</v>
      </c>
      <c r="F76">
        <v>904</v>
      </c>
      <c r="G76" s="4">
        <v>5709.9452959692871</v>
      </c>
      <c r="H76" t="s">
        <v>34</v>
      </c>
      <c r="I76">
        <v>41</v>
      </c>
      <c r="J76" t="str" cm="1">
        <f t="array" ref="J76">_xlfn.IFS(supply[[#This Row],[Stocks]]&lt;20,"Low Stock",supply[[#This Row],[Stocks]]&lt;50,"Medium Stock", supply[[#This Row],[Stocks]]&lt;=100, "High Stock")</f>
        <v>Medium Stock</v>
      </c>
      <c r="K76">
        <v>6</v>
      </c>
      <c r="L76">
        <v>1</v>
      </c>
      <c r="M76">
        <v>5</v>
      </c>
      <c r="N76" t="s">
        <v>35</v>
      </c>
      <c r="O76" s="5">
        <v>5.2376546500374479</v>
      </c>
      <c r="P76" t="s">
        <v>51</v>
      </c>
      <c r="Q76" t="s">
        <v>49</v>
      </c>
      <c r="R76">
        <v>1</v>
      </c>
      <c r="S76">
        <v>919</v>
      </c>
      <c r="T76">
        <v>9</v>
      </c>
      <c r="U76" s="4">
        <v>80.580852156447818</v>
      </c>
      <c r="V76" t="s">
        <v>45</v>
      </c>
      <c r="W76" s="4">
        <v>0.39661272410993542</v>
      </c>
      <c r="X76" t="s">
        <v>46</v>
      </c>
      <c r="Y76" t="s">
        <v>47</v>
      </c>
      <c r="Z76" s="4">
        <v>341.55265678322337</v>
      </c>
    </row>
    <row r="77" spans="1:26" x14ac:dyDescent="0.3">
      <c r="A77" t="s">
        <v>32</v>
      </c>
      <c r="B77" t="s">
        <v>128</v>
      </c>
      <c r="C77" s="3">
        <v>92.996884233970661</v>
      </c>
      <c r="D77">
        <v>29</v>
      </c>
      <c r="E77" t="str" cm="1">
        <f t="array" ref="E77">_xlfn.IFS(supply[[#This Row],[Availability]]&lt;=20,"Low",supply[[#This Row],[Availability]]&lt;=50,"medium",supply[[#This Row],[Availability]]&lt;=100,"High")</f>
        <v>medium</v>
      </c>
      <c r="F77">
        <v>106</v>
      </c>
      <c r="G77" s="4">
        <v>1889.073589779335</v>
      </c>
      <c r="H77" t="s">
        <v>25</v>
      </c>
      <c r="I77">
        <v>16</v>
      </c>
      <c r="J77" t="str" cm="1">
        <f t="array" ref="J77">_xlfn.IFS(supply[[#This Row],[Stocks]]&lt;20,"Low Stock",supply[[#This Row],[Stocks]]&lt;50,"Medium Stock", supply[[#This Row],[Stocks]]&lt;=100, "High Stock")</f>
        <v>Low Stock</v>
      </c>
      <c r="K77">
        <v>20</v>
      </c>
      <c r="L77">
        <v>56</v>
      </c>
      <c r="M77">
        <v>10</v>
      </c>
      <c r="N77" t="s">
        <v>42</v>
      </c>
      <c r="O77" s="5">
        <v>2.4738977610454609</v>
      </c>
      <c r="P77" t="s">
        <v>38</v>
      </c>
      <c r="Q77" t="s">
        <v>61</v>
      </c>
      <c r="R77">
        <v>25</v>
      </c>
      <c r="S77">
        <v>759</v>
      </c>
      <c r="T77">
        <v>11</v>
      </c>
      <c r="U77" s="4">
        <v>48.064782640006591</v>
      </c>
      <c r="V77" t="s">
        <v>63</v>
      </c>
      <c r="W77" s="4">
        <v>2.0300690886687516</v>
      </c>
      <c r="X77" t="s">
        <v>39</v>
      </c>
      <c r="Y77" t="s">
        <v>40</v>
      </c>
      <c r="Z77" s="4">
        <v>873.12964801765145</v>
      </c>
    </row>
    <row r="78" spans="1:26" x14ac:dyDescent="0.3">
      <c r="A78" t="s">
        <v>23</v>
      </c>
      <c r="B78" t="s">
        <v>129</v>
      </c>
      <c r="C78" s="3">
        <v>69.108799547430323</v>
      </c>
      <c r="D78">
        <v>23</v>
      </c>
      <c r="E78" t="str" cm="1">
        <f t="array" ref="E78">_xlfn.IFS(supply[[#This Row],[Availability]]&lt;=20,"Low",supply[[#This Row],[Availability]]&lt;=50,"medium",supply[[#This Row],[Availability]]&lt;=100,"High")</f>
        <v>medium</v>
      </c>
      <c r="F78">
        <v>241</v>
      </c>
      <c r="G78" s="4">
        <v>5328.3759842977579</v>
      </c>
      <c r="H78" t="s">
        <v>54</v>
      </c>
      <c r="I78">
        <v>38</v>
      </c>
      <c r="J78" t="str" cm="1">
        <f t="array" ref="J78">_xlfn.IFS(supply[[#This Row],[Stocks]]&lt;20,"Low Stock",supply[[#This Row],[Stocks]]&lt;50,"Medium Stock", supply[[#This Row],[Stocks]]&lt;=100, "High Stock")</f>
        <v>Medium Stock</v>
      </c>
      <c r="K78">
        <v>1</v>
      </c>
      <c r="L78">
        <v>22</v>
      </c>
      <c r="M78">
        <v>10</v>
      </c>
      <c r="N78" t="s">
        <v>35</v>
      </c>
      <c r="O78" s="5">
        <v>7.0545383368369263</v>
      </c>
      <c r="P78" t="s">
        <v>60</v>
      </c>
      <c r="Q78" t="s">
        <v>52</v>
      </c>
      <c r="R78">
        <v>25</v>
      </c>
      <c r="S78">
        <v>985</v>
      </c>
      <c r="T78">
        <v>24</v>
      </c>
      <c r="U78" s="4">
        <v>64.323597795600222</v>
      </c>
      <c r="V78" t="s">
        <v>29</v>
      </c>
      <c r="W78" s="4">
        <v>2.1800374515822165</v>
      </c>
      <c r="X78" t="s">
        <v>46</v>
      </c>
      <c r="Y78" t="s">
        <v>47</v>
      </c>
      <c r="Z78" s="4">
        <v>997.4134501331946</v>
      </c>
    </row>
    <row r="79" spans="1:26" x14ac:dyDescent="0.3">
      <c r="A79" t="s">
        <v>23</v>
      </c>
      <c r="B79" t="s">
        <v>130</v>
      </c>
      <c r="C79" s="3">
        <v>57.449742958971477</v>
      </c>
      <c r="D79">
        <v>14</v>
      </c>
      <c r="E79" t="str" cm="1">
        <f t="array" ref="E79">_xlfn.IFS(supply[[#This Row],[Availability]]&lt;=20,"Low",supply[[#This Row],[Availability]]&lt;=50,"medium",supply[[#This Row],[Availability]]&lt;=100,"High")</f>
        <v>Low</v>
      </c>
      <c r="F79">
        <v>359</v>
      </c>
      <c r="G79" s="4">
        <v>2483.7601775427947</v>
      </c>
      <c r="H79" t="s">
        <v>37</v>
      </c>
      <c r="I79">
        <v>96</v>
      </c>
      <c r="J79" t="str" cm="1">
        <f t="array" ref="J79">_xlfn.IFS(supply[[#This Row],[Stocks]]&lt;20,"Low Stock",supply[[#This Row],[Stocks]]&lt;50,"Medium Stock", supply[[#This Row],[Stocks]]&lt;=100, "High Stock")</f>
        <v>High Stock</v>
      </c>
      <c r="K79">
        <v>28</v>
      </c>
      <c r="L79">
        <v>57</v>
      </c>
      <c r="M79">
        <v>4</v>
      </c>
      <c r="N79" t="s">
        <v>26</v>
      </c>
      <c r="O79" s="5">
        <v>6.7809466256178954</v>
      </c>
      <c r="P79" t="s">
        <v>38</v>
      </c>
      <c r="Q79" t="s">
        <v>44</v>
      </c>
      <c r="R79">
        <v>26</v>
      </c>
      <c r="S79">
        <v>334</v>
      </c>
      <c r="T79">
        <v>5</v>
      </c>
      <c r="U79" s="4">
        <v>42.952444748991837</v>
      </c>
      <c r="V79" t="s">
        <v>63</v>
      </c>
      <c r="W79" s="4">
        <v>3.0551418183075478</v>
      </c>
      <c r="X79" t="s">
        <v>30</v>
      </c>
      <c r="Y79" t="s">
        <v>31</v>
      </c>
      <c r="Z79" s="4">
        <v>852.56809891984994</v>
      </c>
    </row>
    <row r="80" spans="1:26" x14ac:dyDescent="0.3">
      <c r="A80" t="s">
        <v>23</v>
      </c>
      <c r="B80" t="s">
        <v>131</v>
      </c>
      <c r="C80" s="3">
        <v>6.3068831761119153</v>
      </c>
      <c r="D80">
        <v>50</v>
      </c>
      <c r="E80" t="str" cm="1">
        <f t="array" ref="E80">_xlfn.IFS(supply[[#This Row],[Availability]]&lt;=20,"Low",supply[[#This Row],[Availability]]&lt;=50,"medium",supply[[#This Row],[Availability]]&lt;=100,"High")</f>
        <v>medium</v>
      </c>
      <c r="F80">
        <v>946</v>
      </c>
      <c r="G80" s="4">
        <v>1292.4584179377562</v>
      </c>
      <c r="H80" t="s">
        <v>37</v>
      </c>
      <c r="I80">
        <v>5</v>
      </c>
      <c r="J80" t="str" cm="1">
        <f t="array" ref="J80">_xlfn.IFS(supply[[#This Row],[Stocks]]&lt;20,"Low Stock",supply[[#This Row],[Stocks]]&lt;50,"Medium Stock", supply[[#This Row],[Stocks]]&lt;=100, "High Stock")</f>
        <v>Low Stock</v>
      </c>
      <c r="K80">
        <v>4</v>
      </c>
      <c r="L80">
        <v>51</v>
      </c>
      <c r="M80">
        <v>5</v>
      </c>
      <c r="N80" t="s">
        <v>26</v>
      </c>
      <c r="O80" s="5">
        <v>8.4670497708619905</v>
      </c>
      <c r="P80" t="s">
        <v>43</v>
      </c>
      <c r="Q80" t="s">
        <v>28</v>
      </c>
      <c r="R80">
        <v>25</v>
      </c>
      <c r="S80">
        <v>858</v>
      </c>
      <c r="T80">
        <v>21</v>
      </c>
      <c r="U80" s="4">
        <v>71.126514720403378</v>
      </c>
      <c r="V80" t="s">
        <v>29</v>
      </c>
      <c r="W80" s="4">
        <v>4.0968813324704518</v>
      </c>
      <c r="X80" t="s">
        <v>55</v>
      </c>
      <c r="Y80" t="s">
        <v>40</v>
      </c>
      <c r="Z80" s="4">
        <v>323.59220343132216</v>
      </c>
    </row>
    <row r="81" spans="1:26" x14ac:dyDescent="0.3">
      <c r="A81" t="s">
        <v>23</v>
      </c>
      <c r="B81" t="s">
        <v>132</v>
      </c>
      <c r="C81" s="3">
        <v>57.057031221103223</v>
      </c>
      <c r="D81">
        <v>56</v>
      </c>
      <c r="E81" t="str" cm="1">
        <f t="array" ref="E81">_xlfn.IFS(supply[[#This Row],[Availability]]&lt;=20,"Low",supply[[#This Row],[Availability]]&lt;=50,"medium",supply[[#This Row],[Availability]]&lt;=100,"High")</f>
        <v>High</v>
      </c>
      <c r="F81">
        <v>198</v>
      </c>
      <c r="G81" s="4">
        <v>7888.7232684270812</v>
      </c>
      <c r="H81" t="s">
        <v>25</v>
      </c>
      <c r="I81">
        <v>31</v>
      </c>
      <c r="J81" t="str" cm="1">
        <f t="array" ref="J81">_xlfn.IFS(supply[[#This Row],[Stocks]]&lt;20,"Low Stock",supply[[#This Row],[Stocks]]&lt;50,"Medium Stock", supply[[#This Row],[Stocks]]&lt;=100, "High Stock")</f>
        <v>Medium Stock</v>
      </c>
      <c r="K81">
        <v>25</v>
      </c>
      <c r="L81">
        <v>20</v>
      </c>
      <c r="M81">
        <v>1</v>
      </c>
      <c r="N81" t="s">
        <v>26</v>
      </c>
      <c r="O81" s="5">
        <v>6.4963253642950445</v>
      </c>
      <c r="P81" t="s">
        <v>27</v>
      </c>
      <c r="Q81" t="s">
        <v>52</v>
      </c>
      <c r="R81">
        <v>5</v>
      </c>
      <c r="S81">
        <v>228</v>
      </c>
      <c r="T81">
        <v>12</v>
      </c>
      <c r="U81" s="4">
        <v>57.87090292403628</v>
      </c>
      <c r="V81" t="s">
        <v>29</v>
      </c>
      <c r="W81" s="4">
        <v>0.16587162748060824</v>
      </c>
      <c r="X81" t="s">
        <v>39</v>
      </c>
      <c r="Y81" t="s">
        <v>40</v>
      </c>
      <c r="Z81" s="4">
        <v>351.50421933503867</v>
      </c>
    </row>
    <row r="82" spans="1:26" x14ac:dyDescent="0.3">
      <c r="A82" t="s">
        <v>32</v>
      </c>
      <c r="B82" t="s">
        <v>133</v>
      </c>
      <c r="C82" s="3">
        <v>91.128318350444331</v>
      </c>
      <c r="D82">
        <v>75</v>
      </c>
      <c r="E82" t="str" cm="1">
        <f t="array" ref="E82">_xlfn.IFS(supply[[#This Row],[Availability]]&lt;=20,"Low",supply[[#This Row],[Availability]]&lt;=50,"medium",supply[[#This Row],[Availability]]&lt;=100,"High")</f>
        <v>High</v>
      </c>
      <c r="F82">
        <v>872</v>
      </c>
      <c r="G82" s="4">
        <v>8651.6726829820655</v>
      </c>
      <c r="H82" t="s">
        <v>37</v>
      </c>
      <c r="I82">
        <v>39</v>
      </c>
      <c r="J82" t="str" cm="1">
        <f t="array" ref="J82">_xlfn.IFS(supply[[#This Row],[Stocks]]&lt;20,"Low Stock",supply[[#This Row],[Stocks]]&lt;50,"Medium Stock", supply[[#This Row],[Stocks]]&lt;=100, "High Stock")</f>
        <v>Medium Stock</v>
      </c>
      <c r="K82">
        <v>14</v>
      </c>
      <c r="L82">
        <v>41</v>
      </c>
      <c r="M82">
        <v>2</v>
      </c>
      <c r="N82" t="s">
        <v>42</v>
      </c>
      <c r="O82" s="5">
        <v>2.8331846794189746</v>
      </c>
      <c r="P82" t="s">
        <v>27</v>
      </c>
      <c r="Q82" t="s">
        <v>61</v>
      </c>
      <c r="R82">
        <v>8</v>
      </c>
      <c r="S82">
        <v>202</v>
      </c>
      <c r="T82">
        <v>5</v>
      </c>
      <c r="U82" s="4">
        <v>76.961228023820013</v>
      </c>
      <c r="V82" t="s">
        <v>45</v>
      </c>
      <c r="W82" s="4">
        <v>2.8496621985053308</v>
      </c>
      <c r="X82" t="s">
        <v>55</v>
      </c>
      <c r="Y82" t="s">
        <v>31</v>
      </c>
      <c r="Z82" s="4">
        <v>787.77985049434449</v>
      </c>
    </row>
    <row r="83" spans="1:26" x14ac:dyDescent="0.3">
      <c r="A83" t="s">
        <v>23</v>
      </c>
      <c r="B83" t="s">
        <v>134</v>
      </c>
      <c r="C83" s="3">
        <v>72.819206930318217</v>
      </c>
      <c r="D83">
        <v>9</v>
      </c>
      <c r="E83" t="str" cm="1">
        <f t="array" ref="E83">_xlfn.IFS(supply[[#This Row],[Availability]]&lt;=20,"Low",supply[[#This Row],[Availability]]&lt;=50,"medium",supply[[#This Row],[Availability]]&lt;=100,"High")</f>
        <v>Low</v>
      </c>
      <c r="F83">
        <v>774</v>
      </c>
      <c r="G83" s="4">
        <v>4384.4134000458625</v>
      </c>
      <c r="H83" t="s">
        <v>37</v>
      </c>
      <c r="I83">
        <v>48</v>
      </c>
      <c r="J83" t="str" cm="1">
        <f t="array" ref="J83">_xlfn.IFS(supply[[#This Row],[Stocks]]&lt;20,"Low Stock",supply[[#This Row],[Stocks]]&lt;50,"Medium Stock", supply[[#This Row],[Stocks]]&lt;=100, "High Stock")</f>
        <v>Medium Stock</v>
      </c>
      <c r="K83">
        <v>6</v>
      </c>
      <c r="L83">
        <v>8</v>
      </c>
      <c r="M83">
        <v>5</v>
      </c>
      <c r="N83" t="s">
        <v>26</v>
      </c>
      <c r="O83" s="5">
        <v>4.0662775015120438</v>
      </c>
      <c r="P83" t="s">
        <v>27</v>
      </c>
      <c r="Q83" t="s">
        <v>49</v>
      </c>
      <c r="R83">
        <v>28</v>
      </c>
      <c r="S83">
        <v>698</v>
      </c>
      <c r="T83">
        <v>1</v>
      </c>
      <c r="U83" s="4">
        <v>19.789592941903603</v>
      </c>
      <c r="V83" t="s">
        <v>29</v>
      </c>
      <c r="W83" s="4">
        <v>2.5475471215487118</v>
      </c>
      <c r="X83" t="s">
        <v>46</v>
      </c>
      <c r="Y83" t="s">
        <v>31</v>
      </c>
      <c r="Z83" s="4">
        <v>276.77833594679885</v>
      </c>
    </row>
    <row r="84" spans="1:26" x14ac:dyDescent="0.3">
      <c r="A84" t="s">
        <v>32</v>
      </c>
      <c r="B84" t="s">
        <v>135</v>
      </c>
      <c r="C84" s="3">
        <v>17.034930739467917</v>
      </c>
      <c r="D84">
        <v>13</v>
      </c>
      <c r="E84" t="str" cm="1">
        <f t="array" ref="E84">_xlfn.IFS(supply[[#This Row],[Availability]]&lt;=20,"Low",supply[[#This Row],[Availability]]&lt;=50,"medium",supply[[#This Row],[Availability]]&lt;=100,"High")</f>
        <v>Low</v>
      </c>
      <c r="F84">
        <v>336</v>
      </c>
      <c r="G84" s="4">
        <v>2943.3818676094515</v>
      </c>
      <c r="H84" t="s">
        <v>37</v>
      </c>
      <c r="I84">
        <v>42</v>
      </c>
      <c r="J84" t="str" cm="1">
        <f t="array" ref="J84">_xlfn.IFS(supply[[#This Row],[Stocks]]&lt;20,"Low Stock",supply[[#This Row],[Stocks]]&lt;50,"Medium Stock", supply[[#This Row],[Stocks]]&lt;=100, "High Stock")</f>
        <v>Medium Stock</v>
      </c>
      <c r="K84">
        <v>19</v>
      </c>
      <c r="L84">
        <v>72</v>
      </c>
      <c r="M84">
        <v>1</v>
      </c>
      <c r="N84" t="s">
        <v>35</v>
      </c>
      <c r="O84" s="5">
        <v>4.7081818735419301</v>
      </c>
      <c r="P84" t="s">
        <v>60</v>
      </c>
      <c r="Q84" t="s">
        <v>28</v>
      </c>
      <c r="R84">
        <v>6</v>
      </c>
      <c r="S84">
        <v>955</v>
      </c>
      <c r="T84">
        <v>26</v>
      </c>
      <c r="U84" s="4">
        <v>4.4652784349432402</v>
      </c>
      <c r="V84" t="s">
        <v>29</v>
      </c>
      <c r="W84" s="4">
        <v>4.1378770486223573</v>
      </c>
      <c r="X84" t="s">
        <v>30</v>
      </c>
      <c r="Y84" t="s">
        <v>40</v>
      </c>
      <c r="Z84" s="4">
        <v>589.97855562804068</v>
      </c>
    </row>
    <row r="85" spans="1:26" x14ac:dyDescent="0.3">
      <c r="A85" t="s">
        <v>23</v>
      </c>
      <c r="B85" t="s">
        <v>136</v>
      </c>
      <c r="C85" s="3">
        <v>68.911246211606326</v>
      </c>
      <c r="D85">
        <v>82</v>
      </c>
      <c r="E85" t="str" cm="1">
        <f t="array" ref="E85">_xlfn.IFS(supply[[#This Row],[Availability]]&lt;=20,"Low",supply[[#This Row],[Availability]]&lt;=50,"medium",supply[[#This Row],[Availability]]&lt;=100,"High")</f>
        <v>High</v>
      </c>
      <c r="F85">
        <v>663</v>
      </c>
      <c r="G85" s="4">
        <v>2411.754632110491</v>
      </c>
      <c r="H85" t="s">
        <v>37</v>
      </c>
      <c r="I85">
        <v>65</v>
      </c>
      <c r="J85" t="str" cm="1">
        <f t="array" ref="J85">_xlfn.IFS(supply[[#This Row],[Stocks]]&lt;20,"Low Stock",supply[[#This Row],[Stocks]]&lt;50,"Medium Stock", supply[[#This Row],[Stocks]]&lt;=100, "High Stock")</f>
        <v>High Stock</v>
      </c>
      <c r="K85">
        <v>24</v>
      </c>
      <c r="L85">
        <v>7</v>
      </c>
      <c r="M85">
        <v>8</v>
      </c>
      <c r="N85" t="s">
        <v>26</v>
      </c>
      <c r="O85" s="5">
        <v>4.9498395779969488</v>
      </c>
      <c r="P85" t="s">
        <v>38</v>
      </c>
      <c r="Q85" t="s">
        <v>52</v>
      </c>
      <c r="R85">
        <v>20</v>
      </c>
      <c r="S85">
        <v>443</v>
      </c>
      <c r="T85">
        <v>5</v>
      </c>
      <c r="U85" s="4">
        <v>97.730593800533043</v>
      </c>
      <c r="V85" t="s">
        <v>45</v>
      </c>
      <c r="W85" s="4">
        <v>0.77300613406724783</v>
      </c>
      <c r="X85" t="s">
        <v>30</v>
      </c>
      <c r="Y85" t="s">
        <v>47</v>
      </c>
      <c r="Z85" s="4">
        <v>682.97101822609329</v>
      </c>
    </row>
    <row r="86" spans="1:26" x14ac:dyDescent="0.3">
      <c r="A86" t="s">
        <v>23</v>
      </c>
      <c r="B86" t="s">
        <v>137</v>
      </c>
      <c r="C86" s="3">
        <v>89.104367292102253</v>
      </c>
      <c r="D86">
        <v>99</v>
      </c>
      <c r="E86" t="str" cm="1">
        <f t="array" ref="E86">_xlfn.IFS(supply[[#This Row],[Availability]]&lt;=20,"Low",supply[[#This Row],[Availability]]&lt;=50,"medium",supply[[#This Row],[Availability]]&lt;=100,"High")</f>
        <v>High</v>
      </c>
      <c r="F86">
        <v>618</v>
      </c>
      <c r="G86" s="4">
        <v>2048.2900998487103</v>
      </c>
      <c r="H86" t="s">
        <v>37</v>
      </c>
      <c r="I86">
        <v>73</v>
      </c>
      <c r="J86" t="str" cm="1">
        <f t="array" ref="J86">_xlfn.IFS(supply[[#This Row],[Stocks]]&lt;20,"Low Stock",supply[[#This Row],[Stocks]]&lt;50,"Medium Stock", supply[[#This Row],[Stocks]]&lt;=100, "High Stock")</f>
        <v>High Stock</v>
      </c>
      <c r="K86">
        <v>26</v>
      </c>
      <c r="L86">
        <v>80</v>
      </c>
      <c r="M86">
        <v>10</v>
      </c>
      <c r="N86" t="s">
        <v>35</v>
      </c>
      <c r="O86" s="5">
        <v>8.381615624922631</v>
      </c>
      <c r="P86" t="s">
        <v>43</v>
      </c>
      <c r="Q86" t="s">
        <v>61</v>
      </c>
      <c r="R86">
        <v>24</v>
      </c>
      <c r="S86">
        <v>589</v>
      </c>
      <c r="T86">
        <v>22</v>
      </c>
      <c r="U86" s="4">
        <v>33.808636513209095</v>
      </c>
      <c r="V86" t="s">
        <v>63</v>
      </c>
      <c r="W86" s="4">
        <v>4.8434565771180411</v>
      </c>
      <c r="X86" t="s">
        <v>39</v>
      </c>
      <c r="Y86" t="s">
        <v>31</v>
      </c>
      <c r="Z86" s="4">
        <v>465.45700596368795</v>
      </c>
    </row>
    <row r="87" spans="1:26" x14ac:dyDescent="0.3">
      <c r="A87" t="s">
        <v>56</v>
      </c>
      <c r="B87" t="s">
        <v>138</v>
      </c>
      <c r="C87" s="3">
        <v>76.962994415193876</v>
      </c>
      <c r="D87">
        <v>83</v>
      </c>
      <c r="E87" t="str" cm="1">
        <f t="array" ref="E87">_xlfn.IFS(supply[[#This Row],[Availability]]&lt;=20,"Low",supply[[#This Row],[Availability]]&lt;=50,"medium",supply[[#This Row],[Availability]]&lt;=100,"High")</f>
        <v>High</v>
      </c>
      <c r="F87">
        <v>25</v>
      </c>
      <c r="G87" s="4">
        <v>8684.6130592538575</v>
      </c>
      <c r="H87" t="s">
        <v>34</v>
      </c>
      <c r="I87">
        <v>15</v>
      </c>
      <c r="J87" t="str" cm="1">
        <f t="array" ref="J87">_xlfn.IFS(supply[[#This Row],[Stocks]]&lt;20,"Low Stock",supply[[#This Row],[Stocks]]&lt;50,"Medium Stock", supply[[#This Row],[Stocks]]&lt;=100, "High Stock")</f>
        <v>Low Stock</v>
      </c>
      <c r="K87">
        <v>18</v>
      </c>
      <c r="L87">
        <v>66</v>
      </c>
      <c r="M87">
        <v>2</v>
      </c>
      <c r="N87" t="s">
        <v>42</v>
      </c>
      <c r="O87" s="5">
        <v>8.2491687048717282</v>
      </c>
      <c r="P87" t="s">
        <v>43</v>
      </c>
      <c r="Q87" t="s">
        <v>61</v>
      </c>
      <c r="R87">
        <v>4</v>
      </c>
      <c r="S87">
        <v>211</v>
      </c>
      <c r="T87">
        <v>2</v>
      </c>
      <c r="U87" s="4">
        <v>69.929345518672307</v>
      </c>
      <c r="V87" t="s">
        <v>45</v>
      </c>
      <c r="W87" s="4">
        <v>1.3744289997457582</v>
      </c>
      <c r="X87" t="s">
        <v>30</v>
      </c>
      <c r="Y87" t="s">
        <v>31</v>
      </c>
      <c r="Z87" s="4">
        <v>842.68683000464148</v>
      </c>
    </row>
    <row r="88" spans="1:26" x14ac:dyDescent="0.3">
      <c r="A88" t="s">
        <v>32</v>
      </c>
      <c r="B88" t="s">
        <v>139</v>
      </c>
      <c r="C88" s="3">
        <v>19.998176940404221</v>
      </c>
      <c r="D88">
        <v>18</v>
      </c>
      <c r="E88" t="str" cm="1">
        <f t="array" ref="E88">_xlfn.IFS(supply[[#This Row],[Availability]]&lt;=20,"Low",supply[[#This Row],[Availability]]&lt;=50,"medium",supply[[#This Row],[Availability]]&lt;=100,"High")</f>
        <v>Low</v>
      </c>
      <c r="F88">
        <v>223</v>
      </c>
      <c r="G88" s="4">
        <v>1229.5910285649834</v>
      </c>
      <c r="H88" t="s">
        <v>37</v>
      </c>
      <c r="I88">
        <v>32</v>
      </c>
      <c r="J88" t="str" cm="1">
        <f t="array" ref="J88">_xlfn.IFS(supply[[#This Row],[Stocks]]&lt;20,"Low Stock",supply[[#This Row],[Stocks]]&lt;50,"Medium Stock", supply[[#This Row],[Stocks]]&lt;=100, "High Stock")</f>
        <v>Medium Stock</v>
      </c>
      <c r="K88">
        <v>14</v>
      </c>
      <c r="L88">
        <v>22</v>
      </c>
      <c r="M88">
        <v>6</v>
      </c>
      <c r="N88" t="s">
        <v>26</v>
      </c>
      <c r="O88" s="5">
        <v>1.4543053101535515</v>
      </c>
      <c r="P88" t="s">
        <v>38</v>
      </c>
      <c r="Q88" t="s">
        <v>28</v>
      </c>
      <c r="R88">
        <v>4</v>
      </c>
      <c r="S88">
        <v>569</v>
      </c>
      <c r="T88">
        <v>18</v>
      </c>
      <c r="U88" s="4">
        <v>74.608969995194684</v>
      </c>
      <c r="V88" t="s">
        <v>63</v>
      </c>
      <c r="W88" s="4">
        <v>2.0515129307662465</v>
      </c>
      <c r="X88" t="s">
        <v>46</v>
      </c>
      <c r="Y88" t="s">
        <v>47</v>
      </c>
      <c r="Z88" s="4">
        <v>264.25488983586649</v>
      </c>
    </row>
    <row r="89" spans="1:26" x14ac:dyDescent="0.3">
      <c r="A89" t="s">
        <v>23</v>
      </c>
      <c r="B89" t="s">
        <v>140</v>
      </c>
      <c r="C89" s="3">
        <v>80.41403665035574</v>
      </c>
      <c r="D89">
        <v>24</v>
      </c>
      <c r="E89" t="str" cm="1">
        <f t="array" ref="E89">_xlfn.IFS(supply[[#This Row],[Availability]]&lt;=20,"Low",supply[[#This Row],[Availability]]&lt;=50,"medium",supply[[#This Row],[Availability]]&lt;=100,"High")</f>
        <v>medium</v>
      </c>
      <c r="F89">
        <v>79</v>
      </c>
      <c r="G89" s="4">
        <v>5133.8467010866916</v>
      </c>
      <c r="H89" t="s">
        <v>54</v>
      </c>
      <c r="I89">
        <v>5</v>
      </c>
      <c r="J89" t="str" cm="1">
        <f t="array" ref="J89">_xlfn.IFS(supply[[#This Row],[Stocks]]&lt;20,"Low Stock",supply[[#This Row],[Stocks]]&lt;50,"Medium Stock", supply[[#This Row],[Stocks]]&lt;=100, "High Stock")</f>
        <v>Low Stock</v>
      </c>
      <c r="K89">
        <v>7</v>
      </c>
      <c r="L89">
        <v>55</v>
      </c>
      <c r="M89">
        <v>10</v>
      </c>
      <c r="N89" t="s">
        <v>35</v>
      </c>
      <c r="O89" s="5">
        <v>6.5758037975485353</v>
      </c>
      <c r="P89" t="s">
        <v>27</v>
      </c>
      <c r="Q89" t="s">
        <v>61</v>
      </c>
      <c r="R89">
        <v>27</v>
      </c>
      <c r="S89">
        <v>523</v>
      </c>
      <c r="T89">
        <v>17</v>
      </c>
      <c r="U89" s="4">
        <v>28.69699682414317</v>
      </c>
      <c r="V89" t="s">
        <v>45</v>
      </c>
      <c r="W89" s="4">
        <v>3.6937377878392756</v>
      </c>
      <c r="X89" t="s">
        <v>55</v>
      </c>
      <c r="Y89" t="s">
        <v>31</v>
      </c>
      <c r="Z89" s="4">
        <v>879.3592177349243</v>
      </c>
    </row>
    <row r="90" spans="1:26" x14ac:dyDescent="0.3">
      <c r="A90" t="s">
        <v>56</v>
      </c>
      <c r="B90" t="s">
        <v>141</v>
      </c>
      <c r="C90" s="3">
        <v>75.27040697572501</v>
      </c>
      <c r="D90">
        <v>58</v>
      </c>
      <c r="E90" t="str" cm="1">
        <f t="array" ref="E90">_xlfn.IFS(supply[[#This Row],[Availability]]&lt;=20,"Low",supply[[#This Row],[Availability]]&lt;=50,"medium",supply[[#This Row],[Availability]]&lt;=100,"High")</f>
        <v>High</v>
      </c>
      <c r="F90">
        <v>737</v>
      </c>
      <c r="G90" s="4">
        <v>9444.7420330629793</v>
      </c>
      <c r="H90" t="s">
        <v>54</v>
      </c>
      <c r="I90">
        <v>60</v>
      </c>
      <c r="J90" t="str" cm="1">
        <f t="array" ref="J90">_xlfn.IFS(supply[[#This Row],[Stocks]]&lt;20,"Low Stock",supply[[#This Row],[Stocks]]&lt;50,"Medium Stock", supply[[#This Row],[Stocks]]&lt;=100, "High Stock")</f>
        <v>High Stock</v>
      </c>
      <c r="K90">
        <v>18</v>
      </c>
      <c r="L90">
        <v>85</v>
      </c>
      <c r="M90">
        <v>7</v>
      </c>
      <c r="N90" t="s">
        <v>35</v>
      </c>
      <c r="O90" s="5">
        <v>3.8012531329310777</v>
      </c>
      <c r="P90" t="s">
        <v>60</v>
      </c>
      <c r="Q90" t="s">
        <v>28</v>
      </c>
      <c r="R90">
        <v>21</v>
      </c>
      <c r="S90">
        <v>953</v>
      </c>
      <c r="T90">
        <v>11</v>
      </c>
      <c r="U90" s="4">
        <v>68.184919057041171</v>
      </c>
      <c r="V90" t="s">
        <v>29</v>
      </c>
      <c r="W90" s="4">
        <v>0.722204401882931</v>
      </c>
      <c r="X90" t="s">
        <v>55</v>
      </c>
      <c r="Y90" t="s">
        <v>47</v>
      </c>
      <c r="Z90" s="4">
        <v>103.91624796070495</v>
      </c>
    </row>
    <row r="91" spans="1:26" x14ac:dyDescent="0.3">
      <c r="A91" t="s">
        <v>56</v>
      </c>
      <c r="B91" t="s">
        <v>142</v>
      </c>
      <c r="C91" s="3">
        <v>97.760085581938668</v>
      </c>
      <c r="D91">
        <v>10</v>
      </c>
      <c r="E91" t="str" cm="1">
        <f t="array" ref="E91">_xlfn.IFS(supply[[#This Row],[Availability]]&lt;=20,"Low",supply[[#This Row],[Availability]]&lt;=50,"medium",supply[[#This Row],[Availability]]&lt;=100,"High")</f>
        <v>Low</v>
      </c>
      <c r="F91">
        <v>134</v>
      </c>
      <c r="G91" s="4">
        <v>5924.682566853231</v>
      </c>
      <c r="H91" t="s">
        <v>37</v>
      </c>
      <c r="I91">
        <v>90</v>
      </c>
      <c r="J91" t="str" cm="1">
        <f t="array" ref="J91">_xlfn.IFS(supply[[#This Row],[Stocks]]&lt;20,"Low Stock",supply[[#This Row],[Stocks]]&lt;50,"Medium Stock", supply[[#This Row],[Stocks]]&lt;=100, "High Stock")</f>
        <v>High Stock</v>
      </c>
      <c r="K91">
        <v>1</v>
      </c>
      <c r="L91">
        <v>27</v>
      </c>
      <c r="M91">
        <v>8</v>
      </c>
      <c r="N91" t="s">
        <v>26</v>
      </c>
      <c r="O91" s="5">
        <v>9.9298162452772587</v>
      </c>
      <c r="P91" t="s">
        <v>38</v>
      </c>
      <c r="Q91" t="s">
        <v>44</v>
      </c>
      <c r="R91">
        <v>23</v>
      </c>
      <c r="S91">
        <v>370</v>
      </c>
      <c r="T91">
        <v>11</v>
      </c>
      <c r="U91" s="4">
        <v>46.603873381644469</v>
      </c>
      <c r="V91" t="s">
        <v>29</v>
      </c>
      <c r="W91" s="4">
        <v>1.9076657339590746</v>
      </c>
      <c r="X91" t="s">
        <v>46</v>
      </c>
      <c r="Y91" t="s">
        <v>31</v>
      </c>
      <c r="Z91" s="4">
        <v>517.4999739290605</v>
      </c>
    </row>
    <row r="92" spans="1:26" x14ac:dyDescent="0.3">
      <c r="A92" t="s">
        <v>32</v>
      </c>
      <c r="B92" t="s">
        <v>143</v>
      </c>
      <c r="C92" s="3">
        <v>13.881913501359142</v>
      </c>
      <c r="D92">
        <v>56</v>
      </c>
      <c r="E92" t="str" cm="1">
        <f t="array" ref="E92">_xlfn.IFS(supply[[#This Row],[Availability]]&lt;=20,"Low",supply[[#This Row],[Availability]]&lt;=50,"medium",supply[[#This Row],[Availability]]&lt;=100,"High")</f>
        <v>High</v>
      </c>
      <c r="F92">
        <v>320</v>
      </c>
      <c r="G92" s="4">
        <v>9592.6335702803117</v>
      </c>
      <c r="H92" t="s">
        <v>25</v>
      </c>
      <c r="I92">
        <v>66</v>
      </c>
      <c r="J92" t="str" cm="1">
        <f t="array" ref="J92">_xlfn.IFS(supply[[#This Row],[Stocks]]&lt;20,"Low Stock",supply[[#This Row],[Stocks]]&lt;50,"Medium Stock", supply[[#This Row],[Stocks]]&lt;=100, "High Stock")</f>
        <v>High Stock</v>
      </c>
      <c r="K92">
        <v>18</v>
      </c>
      <c r="L92">
        <v>96</v>
      </c>
      <c r="M92">
        <v>7</v>
      </c>
      <c r="N92" t="s">
        <v>26</v>
      </c>
      <c r="O92" s="5">
        <v>7.6744307081126939</v>
      </c>
      <c r="P92" t="s">
        <v>27</v>
      </c>
      <c r="Q92" t="s">
        <v>52</v>
      </c>
      <c r="R92">
        <v>8</v>
      </c>
      <c r="S92">
        <v>585</v>
      </c>
      <c r="T92">
        <v>8</v>
      </c>
      <c r="U92" s="4">
        <v>85.675963335797974</v>
      </c>
      <c r="V92" t="s">
        <v>63</v>
      </c>
      <c r="W92" s="4">
        <v>1.2193822244013885</v>
      </c>
      <c r="X92" t="s">
        <v>46</v>
      </c>
      <c r="Y92" t="s">
        <v>31</v>
      </c>
      <c r="Z92" s="4">
        <v>990.07847250581119</v>
      </c>
    </row>
    <row r="93" spans="1:26" x14ac:dyDescent="0.3">
      <c r="A93" t="s">
        <v>56</v>
      </c>
      <c r="B93" t="s">
        <v>144</v>
      </c>
      <c r="C93" s="3">
        <v>62.111965463961788</v>
      </c>
      <c r="D93">
        <v>90</v>
      </c>
      <c r="E93" t="str" cm="1">
        <f t="array" ref="E93">_xlfn.IFS(supply[[#This Row],[Availability]]&lt;=20,"Low",supply[[#This Row],[Availability]]&lt;=50,"medium",supply[[#This Row],[Availability]]&lt;=100,"High")</f>
        <v>High</v>
      </c>
      <c r="F93">
        <v>916</v>
      </c>
      <c r="G93" s="4">
        <v>1935.2067935075991</v>
      </c>
      <c r="H93" t="s">
        <v>54</v>
      </c>
      <c r="I93">
        <v>98</v>
      </c>
      <c r="J93" t="str" cm="1">
        <f t="array" ref="J93">_xlfn.IFS(supply[[#This Row],[Stocks]]&lt;20,"Low Stock",supply[[#This Row],[Stocks]]&lt;50,"Medium Stock", supply[[#This Row],[Stocks]]&lt;=100, "High Stock")</f>
        <v>High Stock</v>
      </c>
      <c r="K93">
        <v>22</v>
      </c>
      <c r="L93">
        <v>85</v>
      </c>
      <c r="M93">
        <v>7</v>
      </c>
      <c r="N93" t="s">
        <v>26</v>
      </c>
      <c r="O93" s="5">
        <v>7.4715140844011456</v>
      </c>
      <c r="P93" t="s">
        <v>51</v>
      </c>
      <c r="Q93" t="s">
        <v>49</v>
      </c>
      <c r="R93">
        <v>5</v>
      </c>
      <c r="S93">
        <v>207</v>
      </c>
      <c r="T93">
        <v>28</v>
      </c>
      <c r="U93" s="4">
        <v>39.772882502339975</v>
      </c>
      <c r="V93" t="s">
        <v>29</v>
      </c>
      <c r="W93" s="4">
        <v>0.62600185820939458</v>
      </c>
      <c r="X93" t="s">
        <v>46</v>
      </c>
      <c r="Y93" t="s">
        <v>31</v>
      </c>
      <c r="Z93" s="4">
        <v>996.77831495062378</v>
      </c>
    </row>
    <row r="94" spans="1:26" x14ac:dyDescent="0.3">
      <c r="A94" t="s">
        <v>56</v>
      </c>
      <c r="B94" t="s">
        <v>145</v>
      </c>
      <c r="C94" s="3">
        <v>47.714233075820232</v>
      </c>
      <c r="D94">
        <v>44</v>
      </c>
      <c r="E94" t="str" cm="1">
        <f t="array" ref="E94">_xlfn.IFS(supply[[#This Row],[Availability]]&lt;=20,"Low",supply[[#This Row],[Availability]]&lt;=50,"medium",supply[[#This Row],[Availability]]&lt;=100,"High")</f>
        <v>medium</v>
      </c>
      <c r="F94">
        <v>276</v>
      </c>
      <c r="G94" s="4">
        <v>2100.1297546259366</v>
      </c>
      <c r="H94" t="s">
        <v>54</v>
      </c>
      <c r="I94">
        <v>90</v>
      </c>
      <c r="J94" t="str" cm="1">
        <f t="array" ref="J94">_xlfn.IFS(supply[[#This Row],[Stocks]]&lt;20,"Low Stock",supply[[#This Row],[Stocks]]&lt;50,"Medium Stock", supply[[#This Row],[Stocks]]&lt;=100, "High Stock")</f>
        <v>High Stock</v>
      </c>
      <c r="K94">
        <v>25</v>
      </c>
      <c r="L94">
        <v>10</v>
      </c>
      <c r="M94">
        <v>8</v>
      </c>
      <c r="N94" t="s">
        <v>26</v>
      </c>
      <c r="O94" s="5">
        <v>4.4695000261236011</v>
      </c>
      <c r="P94" t="s">
        <v>60</v>
      </c>
      <c r="Q94" t="s">
        <v>28</v>
      </c>
      <c r="R94">
        <v>4</v>
      </c>
      <c r="S94">
        <v>671</v>
      </c>
      <c r="T94">
        <v>29</v>
      </c>
      <c r="U94" s="4">
        <v>62.612690395614344</v>
      </c>
      <c r="V94" t="s">
        <v>63</v>
      </c>
      <c r="W94" s="4">
        <v>0.33343182522473924</v>
      </c>
      <c r="X94" t="s">
        <v>46</v>
      </c>
      <c r="Y94" t="s">
        <v>31</v>
      </c>
      <c r="Z94" s="4">
        <v>230.09278253676294</v>
      </c>
    </row>
    <row r="95" spans="1:26" x14ac:dyDescent="0.3">
      <c r="A95" t="s">
        <v>23</v>
      </c>
      <c r="B95" t="s">
        <v>146</v>
      </c>
      <c r="C95" s="3">
        <v>69.290831002905492</v>
      </c>
      <c r="D95">
        <v>88</v>
      </c>
      <c r="E95" t="str" cm="1">
        <f t="array" ref="E95">_xlfn.IFS(supply[[#This Row],[Availability]]&lt;=20,"Low",supply[[#This Row],[Availability]]&lt;=50,"medium",supply[[#This Row],[Availability]]&lt;=100,"High")</f>
        <v>High</v>
      </c>
      <c r="F95">
        <v>114</v>
      </c>
      <c r="G95" s="4">
        <v>4531.4021336919095</v>
      </c>
      <c r="H95" t="s">
        <v>37</v>
      </c>
      <c r="I95">
        <v>63</v>
      </c>
      <c r="J95" t="str" cm="1">
        <f t="array" ref="J95">_xlfn.IFS(supply[[#This Row],[Stocks]]&lt;20,"Low Stock",supply[[#This Row],[Stocks]]&lt;50,"Medium Stock", supply[[#This Row],[Stocks]]&lt;=100, "High Stock")</f>
        <v>High Stock</v>
      </c>
      <c r="K95">
        <v>17</v>
      </c>
      <c r="L95">
        <v>66</v>
      </c>
      <c r="M95">
        <v>1</v>
      </c>
      <c r="N95" t="s">
        <v>42</v>
      </c>
      <c r="O95" s="5">
        <v>7.0064320590043945</v>
      </c>
      <c r="P95" t="s">
        <v>51</v>
      </c>
      <c r="Q95" t="s">
        <v>61</v>
      </c>
      <c r="R95">
        <v>21</v>
      </c>
      <c r="S95">
        <v>824</v>
      </c>
      <c r="T95">
        <v>20</v>
      </c>
      <c r="U95" s="4">
        <v>35.633652343343876</v>
      </c>
      <c r="V95" t="s">
        <v>45</v>
      </c>
      <c r="W95" s="4">
        <v>4.1657817954241452</v>
      </c>
      <c r="X95" t="s">
        <v>39</v>
      </c>
      <c r="Y95" t="s">
        <v>47</v>
      </c>
      <c r="Z95" s="4">
        <v>823.52384588815585</v>
      </c>
    </row>
    <row r="96" spans="1:26" x14ac:dyDescent="0.3">
      <c r="A96" t="s">
        <v>56</v>
      </c>
      <c r="B96" t="s">
        <v>147</v>
      </c>
      <c r="C96" s="3">
        <v>3.0376887246314141</v>
      </c>
      <c r="D96">
        <v>97</v>
      </c>
      <c r="E96" t="str" cm="1">
        <f t="array" ref="E96">_xlfn.IFS(supply[[#This Row],[Availability]]&lt;=20,"Low",supply[[#This Row],[Availability]]&lt;=50,"medium",supply[[#This Row],[Availability]]&lt;=100,"High")</f>
        <v>High</v>
      </c>
      <c r="F96">
        <v>987</v>
      </c>
      <c r="G96" s="4">
        <v>7888.3565466618729</v>
      </c>
      <c r="H96" t="s">
        <v>37</v>
      </c>
      <c r="I96">
        <v>77</v>
      </c>
      <c r="J96" t="str" cm="1">
        <f t="array" ref="J96">_xlfn.IFS(supply[[#This Row],[Stocks]]&lt;20,"Low Stock",supply[[#This Row],[Stocks]]&lt;50,"Medium Stock", supply[[#This Row],[Stocks]]&lt;=100, "High Stock")</f>
        <v>High Stock</v>
      </c>
      <c r="K96">
        <v>26</v>
      </c>
      <c r="L96">
        <v>72</v>
      </c>
      <c r="M96">
        <v>9</v>
      </c>
      <c r="N96" t="s">
        <v>26</v>
      </c>
      <c r="O96" s="5">
        <v>6.9429459420325808</v>
      </c>
      <c r="P96" t="s">
        <v>60</v>
      </c>
      <c r="Q96" t="s">
        <v>49</v>
      </c>
      <c r="R96">
        <v>12</v>
      </c>
      <c r="S96">
        <v>908</v>
      </c>
      <c r="T96">
        <v>14</v>
      </c>
      <c r="U96" s="4">
        <v>60.387378614862122</v>
      </c>
      <c r="V96" t="s">
        <v>63</v>
      </c>
      <c r="W96" s="4">
        <v>1.4636074984727798</v>
      </c>
      <c r="X96" t="s">
        <v>46</v>
      </c>
      <c r="Y96" t="s">
        <v>31</v>
      </c>
      <c r="Z96" s="4">
        <v>846.66525698669477</v>
      </c>
    </row>
    <row r="97" spans="1:26" x14ac:dyDescent="0.3">
      <c r="A97" t="s">
        <v>23</v>
      </c>
      <c r="B97" t="s">
        <v>148</v>
      </c>
      <c r="C97" s="3">
        <v>77.903927219447752</v>
      </c>
      <c r="D97">
        <v>65</v>
      </c>
      <c r="E97" t="str" cm="1">
        <f t="array" ref="E97">_xlfn.IFS(supply[[#This Row],[Availability]]&lt;=20,"Low",supply[[#This Row],[Availability]]&lt;=50,"medium",supply[[#This Row],[Availability]]&lt;=100,"High")</f>
        <v>High</v>
      </c>
      <c r="F97">
        <v>672</v>
      </c>
      <c r="G97" s="4">
        <v>7386.3639440486641</v>
      </c>
      <c r="H97" t="s">
        <v>37</v>
      </c>
      <c r="I97">
        <v>15</v>
      </c>
      <c r="J97" t="str" cm="1">
        <f t="array" ref="J97">_xlfn.IFS(supply[[#This Row],[Stocks]]&lt;20,"Low Stock",supply[[#This Row],[Stocks]]&lt;50,"Medium Stock", supply[[#This Row],[Stocks]]&lt;=100, "High Stock")</f>
        <v>Low Stock</v>
      </c>
      <c r="K97">
        <v>14</v>
      </c>
      <c r="L97">
        <v>26</v>
      </c>
      <c r="M97">
        <v>9</v>
      </c>
      <c r="N97" t="s">
        <v>26</v>
      </c>
      <c r="O97" s="5">
        <v>8.6303388696027543</v>
      </c>
      <c r="P97" t="s">
        <v>51</v>
      </c>
      <c r="Q97" t="s">
        <v>28</v>
      </c>
      <c r="R97">
        <v>18</v>
      </c>
      <c r="S97">
        <v>450</v>
      </c>
      <c r="T97">
        <v>26</v>
      </c>
      <c r="U97" s="4">
        <v>58.890685768589982</v>
      </c>
      <c r="V97" t="s">
        <v>29</v>
      </c>
      <c r="W97" s="4">
        <v>1.2108821295850665</v>
      </c>
      <c r="X97" t="s">
        <v>39</v>
      </c>
      <c r="Y97" t="s">
        <v>47</v>
      </c>
      <c r="Z97" s="4">
        <v>778.8642413766479</v>
      </c>
    </row>
    <row r="98" spans="1:26" x14ac:dyDescent="0.3">
      <c r="A98" t="s">
        <v>56</v>
      </c>
      <c r="B98" t="s">
        <v>149</v>
      </c>
      <c r="C98" s="3">
        <v>24.42313142037338</v>
      </c>
      <c r="D98">
        <v>29</v>
      </c>
      <c r="E98" t="str" cm="1">
        <f t="array" ref="E98">_xlfn.IFS(supply[[#This Row],[Availability]]&lt;=20,"Low",supply[[#This Row],[Availability]]&lt;=50,"medium",supply[[#This Row],[Availability]]&lt;=100,"High")</f>
        <v>medium</v>
      </c>
      <c r="F98">
        <v>324</v>
      </c>
      <c r="G98" s="4">
        <v>7698.4247656321168</v>
      </c>
      <c r="H98" t="s">
        <v>25</v>
      </c>
      <c r="I98">
        <v>67</v>
      </c>
      <c r="J98" t="str" cm="1">
        <f t="array" ref="J98">_xlfn.IFS(supply[[#This Row],[Stocks]]&lt;20,"Low Stock",supply[[#This Row],[Stocks]]&lt;50,"Medium Stock", supply[[#This Row],[Stocks]]&lt;=100, "High Stock")</f>
        <v>High Stock</v>
      </c>
      <c r="K98">
        <v>2</v>
      </c>
      <c r="L98">
        <v>32</v>
      </c>
      <c r="M98">
        <v>3</v>
      </c>
      <c r="N98" t="s">
        <v>42</v>
      </c>
      <c r="O98" s="5">
        <v>5.3528780439968093</v>
      </c>
      <c r="P98" t="s">
        <v>27</v>
      </c>
      <c r="Q98" t="s">
        <v>28</v>
      </c>
      <c r="R98">
        <v>28</v>
      </c>
      <c r="S98">
        <v>648</v>
      </c>
      <c r="T98">
        <v>28</v>
      </c>
      <c r="U98" s="4">
        <v>17.80375633139127</v>
      </c>
      <c r="V98" t="s">
        <v>29</v>
      </c>
      <c r="W98" s="4">
        <v>3.8720476814821332</v>
      </c>
      <c r="X98" t="s">
        <v>30</v>
      </c>
      <c r="Y98" t="s">
        <v>47</v>
      </c>
      <c r="Z98" s="4">
        <v>188.74214114905698</v>
      </c>
    </row>
    <row r="99" spans="1:26" x14ac:dyDescent="0.3">
      <c r="A99" t="s">
        <v>23</v>
      </c>
      <c r="B99" t="s">
        <v>150</v>
      </c>
      <c r="C99" s="3">
        <v>3.5261112591434158</v>
      </c>
      <c r="D99">
        <v>56</v>
      </c>
      <c r="E99" t="str" cm="1">
        <f t="array" ref="E99">_xlfn.IFS(supply[[#This Row],[Availability]]&lt;=20,"Low",supply[[#This Row],[Availability]]&lt;=50,"medium",supply[[#This Row],[Availability]]&lt;=100,"High")</f>
        <v>High</v>
      </c>
      <c r="F99">
        <v>62</v>
      </c>
      <c r="G99" s="4">
        <v>4370.9165799845359</v>
      </c>
      <c r="H99" t="s">
        <v>54</v>
      </c>
      <c r="I99">
        <v>46</v>
      </c>
      <c r="J99" t="str" cm="1">
        <f t="array" ref="J99">_xlfn.IFS(supply[[#This Row],[Stocks]]&lt;20,"Low Stock",supply[[#This Row],[Stocks]]&lt;50,"Medium Stock", supply[[#This Row],[Stocks]]&lt;=100, "High Stock")</f>
        <v>Medium Stock</v>
      </c>
      <c r="K99">
        <v>19</v>
      </c>
      <c r="L99">
        <v>4</v>
      </c>
      <c r="M99">
        <v>9</v>
      </c>
      <c r="N99" t="s">
        <v>35</v>
      </c>
      <c r="O99" s="5">
        <v>7.9048456112096748</v>
      </c>
      <c r="P99" t="s">
        <v>51</v>
      </c>
      <c r="Q99" t="s">
        <v>28</v>
      </c>
      <c r="R99">
        <v>10</v>
      </c>
      <c r="S99">
        <v>535</v>
      </c>
      <c r="T99">
        <v>13</v>
      </c>
      <c r="U99" s="4">
        <v>65.765155926367456</v>
      </c>
      <c r="V99" t="s">
        <v>45</v>
      </c>
      <c r="W99" s="4">
        <v>3.3762378347179811</v>
      </c>
      <c r="X99" t="s">
        <v>30</v>
      </c>
      <c r="Y99" t="s">
        <v>47</v>
      </c>
      <c r="Z99" s="4">
        <v>540.13242286796776</v>
      </c>
    </row>
    <row r="100" spans="1:26" x14ac:dyDescent="0.3">
      <c r="A100" t="s">
        <v>32</v>
      </c>
      <c r="B100" t="s">
        <v>151</v>
      </c>
      <c r="C100" s="3">
        <v>19.754604866878601</v>
      </c>
      <c r="D100">
        <v>43</v>
      </c>
      <c r="E100" t="str" cm="1">
        <f t="array" ref="E100">_xlfn.IFS(supply[[#This Row],[Availability]]&lt;=20,"Low",supply[[#This Row],[Availability]]&lt;=50,"medium",supply[[#This Row],[Availability]]&lt;=100,"High")</f>
        <v>medium</v>
      </c>
      <c r="F100">
        <v>913</v>
      </c>
      <c r="G100" s="4">
        <v>8525.9525596835265</v>
      </c>
      <c r="H100" t="s">
        <v>34</v>
      </c>
      <c r="I100">
        <v>53</v>
      </c>
      <c r="J100" t="str" cm="1">
        <f t="array" ref="J100">_xlfn.IFS(supply[[#This Row],[Stocks]]&lt;20,"Low Stock",supply[[#This Row],[Stocks]]&lt;50,"Medium Stock", supply[[#This Row],[Stocks]]&lt;=100, "High Stock")</f>
        <v>High Stock</v>
      </c>
      <c r="K100">
        <v>1</v>
      </c>
      <c r="L100">
        <v>27</v>
      </c>
      <c r="M100">
        <v>7</v>
      </c>
      <c r="N100" t="s">
        <v>26</v>
      </c>
      <c r="O100" s="5">
        <v>1.4098010951380731</v>
      </c>
      <c r="P100" t="s">
        <v>43</v>
      </c>
      <c r="Q100" t="s">
        <v>61</v>
      </c>
      <c r="R100">
        <v>28</v>
      </c>
      <c r="S100">
        <v>581</v>
      </c>
      <c r="T100">
        <v>9</v>
      </c>
      <c r="U100" s="4">
        <v>5.604690864371781</v>
      </c>
      <c r="V100" t="s">
        <v>29</v>
      </c>
      <c r="W100" s="4">
        <v>2.9081221693512611</v>
      </c>
      <c r="X100" t="s">
        <v>46</v>
      </c>
      <c r="Y100" t="s">
        <v>47</v>
      </c>
      <c r="Z100" s="4">
        <v>882.19886354704147</v>
      </c>
    </row>
    <row r="101" spans="1:26" x14ac:dyDescent="0.3">
      <c r="A101" t="s">
        <v>23</v>
      </c>
      <c r="B101" t="s">
        <v>152</v>
      </c>
      <c r="C101" s="3">
        <v>68.517832699276639</v>
      </c>
      <c r="D101">
        <v>17</v>
      </c>
      <c r="E101" t="str" cm="1">
        <f t="array" ref="E101">_xlfn.IFS(supply[[#This Row],[Availability]]&lt;=20,"Low",supply[[#This Row],[Availability]]&lt;=50,"medium",supply[[#This Row],[Availability]]&lt;=100,"High")</f>
        <v>Low</v>
      </c>
      <c r="F101">
        <v>627</v>
      </c>
      <c r="G101" s="4">
        <v>9185.1858291817043</v>
      </c>
      <c r="H101" t="s">
        <v>37</v>
      </c>
      <c r="I101">
        <v>55</v>
      </c>
      <c r="J101" t="str" cm="1">
        <f t="array" ref="J101">_xlfn.IFS(supply[[#This Row],[Stocks]]&lt;20,"Low Stock",supply[[#This Row],[Stocks]]&lt;50,"Medium Stock", supply[[#This Row],[Stocks]]&lt;=100, "High Stock")</f>
        <v>High Stock</v>
      </c>
      <c r="K101">
        <v>8</v>
      </c>
      <c r="L101">
        <v>59</v>
      </c>
      <c r="M101">
        <v>6</v>
      </c>
      <c r="N101" t="s">
        <v>26</v>
      </c>
      <c r="O101" s="5">
        <v>1.3110237561206226</v>
      </c>
      <c r="P101" t="s">
        <v>60</v>
      </c>
      <c r="Q101" t="s">
        <v>61</v>
      </c>
      <c r="R101">
        <v>29</v>
      </c>
      <c r="S101">
        <v>921</v>
      </c>
      <c r="T101">
        <v>2</v>
      </c>
      <c r="U101" s="4">
        <v>38.07289852062604</v>
      </c>
      <c r="V101" t="s">
        <v>45</v>
      </c>
      <c r="W101" s="4">
        <v>0.34602729070550342</v>
      </c>
      <c r="X101" t="s">
        <v>46</v>
      </c>
      <c r="Y101" t="s">
        <v>31</v>
      </c>
      <c r="Z101" s="4">
        <v>210.74300896424614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6FBD4D-3822-404B-81A4-0E2904131F6D}">
  <dimension ref="A3:I4"/>
  <sheetViews>
    <sheetView workbookViewId="0">
      <selection activeCell="G4" sqref="G4"/>
    </sheetView>
  </sheetViews>
  <sheetFormatPr defaultRowHeight="14.4" x14ac:dyDescent="0.3"/>
  <cols>
    <col min="1" max="1" width="13.21875" bestFit="1" customWidth="1"/>
    <col min="2" max="2" width="10.33203125" bestFit="1" customWidth="1"/>
    <col min="3" max="3" width="18.109375" bestFit="1" customWidth="1"/>
    <col min="4" max="4" width="13.5546875" bestFit="1" customWidth="1"/>
    <col min="5" max="5" width="15.21875" bestFit="1" customWidth="1"/>
    <col min="6" max="6" width="16.21875" bestFit="1" customWidth="1"/>
    <col min="7" max="7" width="14.33203125" bestFit="1" customWidth="1"/>
    <col min="8" max="8" width="22.6640625" bestFit="1" customWidth="1"/>
    <col min="9" max="9" width="14.21875" bestFit="1" customWidth="1"/>
  </cols>
  <sheetData>
    <row r="3" spans="1:9" x14ac:dyDescent="0.3">
      <c r="A3" t="s">
        <v>158</v>
      </c>
      <c r="B3" t="s">
        <v>159</v>
      </c>
      <c r="C3" t="s">
        <v>160</v>
      </c>
      <c r="D3" t="s">
        <v>161</v>
      </c>
      <c r="E3" t="s">
        <v>162</v>
      </c>
      <c r="F3" t="s">
        <v>163</v>
      </c>
      <c r="G3" t="s">
        <v>164</v>
      </c>
      <c r="H3" t="s">
        <v>165</v>
      </c>
      <c r="I3" t="s">
        <v>166</v>
      </c>
    </row>
    <row r="4" spans="1:9" x14ac:dyDescent="0.3">
      <c r="A4">
        <v>100</v>
      </c>
      <c r="B4">
        <v>4777</v>
      </c>
      <c r="C4">
        <v>17.079999999999998</v>
      </c>
      <c r="D4" s="6">
        <v>577604.81873800862</v>
      </c>
      <c r="E4">
        <v>27</v>
      </c>
      <c r="F4" s="6">
        <v>5.5481490720195872</v>
      </c>
      <c r="G4" s="6">
        <v>2.2771579927396108</v>
      </c>
      <c r="H4" s="6">
        <v>4726.6693241469911</v>
      </c>
      <c r="I4">
        <v>46099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03A489-388A-43A9-B670-E1739E1228BE}">
  <dimension ref="A3:M42"/>
  <sheetViews>
    <sheetView topLeftCell="A10" zoomScaleNormal="100" workbookViewId="0">
      <selection activeCell="B3" sqref="B3"/>
    </sheetView>
  </sheetViews>
  <sheetFormatPr defaultRowHeight="14.4" x14ac:dyDescent="0.3"/>
  <cols>
    <col min="1" max="1" width="12.5546875" bestFit="1" customWidth="1"/>
    <col min="2" max="2" width="17.88671875" bestFit="1" customWidth="1"/>
    <col min="4" max="4" width="12.5546875" bestFit="1" customWidth="1"/>
    <col min="5" max="5" width="13.5546875" bestFit="1" customWidth="1"/>
    <col min="6" max="6" width="13.88671875" bestFit="1" customWidth="1"/>
    <col min="7" max="7" width="10.44140625" bestFit="1" customWidth="1"/>
    <col min="11" max="11" width="12.5546875" bestFit="1" customWidth="1"/>
    <col min="12" max="12" width="15.21875" bestFit="1" customWidth="1"/>
    <col min="13" max="13" width="10.33203125" bestFit="1" customWidth="1"/>
    <col min="14" max="14" width="15.21875" bestFit="1" customWidth="1"/>
    <col min="15" max="15" width="14.21875" bestFit="1" customWidth="1"/>
  </cols>
  <sheetData>
    <row r="3" spans="1:13" x14ac:dyDescent="0.3">
      <c r="A3" s="1" t="s">
        <v>156</v>
      </c>
      <c r="B3" t="s">
        <v>161</v>
      </c>
      <c r="D3" s="1" t="s">
        <v>156</v>
      </c>
      <c r="E3" t="s">
        <v>164</v>
      </c>
      <c r="K3" s="1" t="s">
        <v>156</v>
      </c>
      <c r="L3" t="s">
        <v>162</v>
      </c>
      <c r="M3" t="s">
        <v>168</v>
      </c>
    </row>
    <row r="4" spans="1:13" x14ac:dyDescent="0.3">
      <c r="A4" s="2" t="s">
        <v>89</v>
      </c>
      <c r="B4">
        <v>7573.4024578487333</v>
      </c>
      <c r="D4" s="2" t="s">
        <v>43</v>
      </c>
      <c r="E4" s="6">
        <v>2.6654083441492014</v>
      </c>
      <c r="K4" s="2" t="s">
        <v>32</v>
      </c>
      <c r="L4">
        <v>13</v>
      </c>
      <c r="M4">
        <v>16</v>
      </c>
    </row>
    <row r="5" spans="1:13" x14ac:dyDescent="0.3">
      <c r="A5" s="2" t="s">
        <v>97</v>
      </c>
      <c r="B5">
        <v>7152.2860494355145</v>
      </c>
      <c r="D5" s="2" t="s">
        <v>27</v>
      </c>
      <c r="E5" s="6">
        <v>2.4657860307644701</v>
      </c>
      <c r="K5" s="2" t="s">
        <v>23</v>
      </c>
      <c r="L5">
        <v>9</v>
      </c>
      <c r="M5">
        <v>16</v>
      </c>
    </row>
    <row r="6" spans="1:13" x14ac:dyDescent="0.3">
      <c r="A6" s="2" t="s">
        <v>131</v>
      </c>
      <c r="B6">
        <v>1292.4584179377562</v>
      </c>
      <c r="D6" s="2" t="s">
        <v>60</v>
      </c>
      <c r="E6" s="6">
        <v>2.3627501450718813</v>
      </c>
      <c r="K6" s="2" t="s">
        <v>56</v>
      </c>
      <c r="L6">
        <v>5</v>
      </c>
      <c r="M6">
        <v>15</v>
      </c>
    </row>
    <row r="7" spans="1:13" x14ac:dyDescent="0.3">
      <c r="A7" s="2" t="s">
        <v>59</v>
      </c>
      <c r="B7">
        <v>4971.145987585558</v>
      </c>
      <c r="D7" s="2" t="s">
        <v>51</v>
      </c>
      <c r="E7" s="6">
        <v>2.3373974005913398</v>
      </c>
      <c r="K7" s="2" t="s">
        <v>157</v>
      </c>
      <c r="L7">
        <v>27</v>
      </c>
      <c r="M7">
        <v>47</v>
      </c>
    </row>
    <row r="8" spans="1:13" x14ac:dyDescent="0.3">
      <c r="A8" s="2" t="s">
        <v>62</v>
      </c>
      <c r="B8">
        <v>2330.9658020919492</v>
      </c>
      <c r="D8" s="2" t="s">
        <v>38</v>
      </c>
      <c r="E8" s="6">
        <v>1.8036297116882525</v>
      </c>
    </row>
    <row r="9" spans="1:13" x14ac:dyDescent="0.3">
      <c r="A9" s="2" t="s">
        <v>64</v>
      </c>
      <c r="B9">
        <v>6099.944115581452</v>
      </c>
      <c r="D9" s="2" t="s">
        <v>157</v>
      </c>
      <c r="E9" s="6">
        <v>2.2771579927396108</v>
      </c>
    </row>
    <row r="10" spans="1:13" x14ac:dyDescent="0.3">
      <c r="A10" s="2" t="s">
        <v>90</v>
      </c>
      <c r="B10">
        <v>2438.3399304700288</v>
      </c>
    </row>
    <row r="11" spans="1:13" x14ac:dyDescent="0.3">
      <c r="A11" s="2" t="s">
        <v>93</v>
      </c>
      <c r="B11">
        <v>5724.9593504562654</v>
      </c>
    </row>
    <row r="12" spans="1:13" x14ac:dyDescent="0.3">
      <c r="A12" s="2" t="s">
        <v>144</v>
      </c>
      <c r="B12">
        <v>1935.2067935075991</v>
      </c>
    </row>
    <row r="13" spans="1:13" x14ac:dyDescent="0.3">
      <c r="A13" s="2" t="s">
        <v>147</v>
      </c>
      <c r="B13">
        <v>7888.3565466618729</v>
      </c>
    </row>
    <row r="14" spans="1:13" x14ac:dyDescent="0.3">
      <c r="A14" s="2" t="s">
        <v>157</v>
      </c>
      <c r="B14">
        <v>47407.065451576731</v>
      </c>
    </row>
    <row r="19" spans="1:5" x14ac:dyDescent="0.3">
      <c r="D19" s="1" t="s">
        <v>156</v>
      </c>
      <c r="E19" t="s">
        <v>161</v>
      </c>
    </row>
    <row r="20" spans="1:5" x14ac:dyDescent="0.3">
      <c r="D20" s="2" t="s">
        <v>28</v>
      </c>
      <c r="E20" s="6">
        <v>137755.02687746938</v>
      </c>
    </row>
    <row r="21" spans="1:5" x14ac:dyDescent="0.3">
      <c r="A21" s="1" t="s">
        <v>156</v>
      </c>
      <c r="B21" t="s">
        <v>161</v>
      </c>
      <c r="D21" s="2" t="s">
        <v>44</v>
      </c>
      <c r="E21" s="6">
        <v>137077.5510053811</v>
      </c>
    </row>
    <row r="22" spans="1:5" x14ac:dyDescent="0.3">
      <c r="A22" s="2" t="s">
        <v>56</v>
      </c>
      <c r="B22" s="6">
        <v>161521.26599948312</v>
      </c>
      <c r="D22" s="2" t="s">
        <v>49</v>
      </c>
      <c r="E22" s="6">
        <v>81027.701224853008</v>
      </c>
    </row>
    <row r="23" spans="1:5" x14ac:dyDescent="0.3">
      <c r="A23" s="2" t="s">
        <v>23</v>
      </c>
      <c r="B23" s="6">
        <v>174455.39060546231</v>
      </c>
      <c r="D23" s="2" t="s">
        <v>61</v>
      </c>
      <c r="E23" s="6">
        <v>119142.81574806941</v>
      </c>
    </row>
    <row r="24" spans="1:5" x14ac:dyDescent="0.3">
      <c r="A24" s="2" t="s">
        <v>32</v>
      </c>
      <c r="B24" s="6">
        <v>241628.16213306325</v>
      </c>
      <c r="D24" s="2" t="s">
        <v>52</v>
      </c>
      <c r="E24" s="6">
        <v>102601.72388223576</v>
      </c>
    </row>
    <row r="25" spans="1:5" x14ac:dyDescent="0.3">
      <c r="A25" s="2" t="s">
        <v>157</v>
      </c>
      <c r="B25" s="6">
        <v>577604.81873800862</v>
      </c>
      <c r="D25" s="2" t="s">
        <v>157</v>
      </c>
      <c r="E25" s="6">
        <v>577604.81873800862</v>
      </c>
    </row>
    <row r="27" spans="1:5" x14ac:dyDescent="0.3">
      <c r="A27" s="1" t="s">
        <v>156</v>
      </c>
      <c r="B27" s="7" t="s">
        <v>160</v>
      </c>
    </row>
    <row r="28" spans="1:5" x14ac:dyDescent="0.3">
      <c r="A28" s="2" t="s">
        <v>38</v>
      </c>
      <c r="B28" s="7">
        <v>14.777777777777779</v>
      </c>
    </row>
    <row r="29" spans="1:5" x14ac:dyDescent="0.3">
      <c r="A29" s="2" t="s">
        <v>60</v>
      </c>
      <c r="B29" s="7">
        <v>18.545454545454547</v>
      </c>
    </row>
    <row r="30" spans="1:5" x14ac:dyDescent="0.3">
      <c r="A30" s="2" t="s">
        <v>27</v>
      </c>
      <c r="B30" s="7">
        <v>20.133333333333333</v>
      </c>
    </row>
    <row r="31" spans="1:5" x14ac:dyDescent="0.3">
      <c r="A31" s="2" t="s">
        <v>51</v>
      </c>
      <c r="B31" s="7">
        <v>15.222222222222221</v>
      </c>
    </row>
    <row r="32" spans="1:5" x14ac:dyDescent="0.3">
      <c r="A32" s="2" t="s">
        <v>43</v>
      </c>
      <c r="B32" s="7">
        <v>18.055555555555557</v>
      </c>
    </row>
    <row r="33" spans="1:2" x14ac:dyDescent="0.3">
      <c r="A33" s="2" t="s">
        <v>157</v>
      </c>
      <c r="B33" s="7">
        <v>17.079999999999998</v>
      </c>
    </row>
    <row r="37" spans="1:2" x14ac:dyDescent="0.3">
      <c r="A37" s="1" t="s">
        <v>156</v>
      </c>
      <c r="B37" s="6" t="s">
        <v>167</v>
      </c>
    </row>
    <row r="38" spans="1:2" x14ac:dyDescent="0.3">
      <c r="A38" s="2" t="s">
        <v>30</v>
      </c>
      <c r="B38" s="6">
        <v>160.72134631132815</v>
      </c>
    </row>
    <row r="39" spans="1:2" x14ac:dyDescent="0.3">
      <c r="A39" s="2" t="s">
        <v>39</v>
      </c>
      <c r="B39" s="6">
        <v>156.46382382094407</v>
      </c>
    </row>
    <row r="40" spans="1:2" x14ac:dyDescent="0.3">
      <c r="A40" s="2" t="s">
        <v>46</v>
      </c>
      <c r="B40" s="6">
        <v>153.13474221088009</v>
      </c>
    </row>
    <row r="41" spans="1:2" x14ac:dyDescent="0.3">
      <c r="A41" s="2" t="s">
        <v>55</v>
      </c>
      <c r="B41" s="6">
        <v>84.494994858806365</v>
      </c>
    </row>
    <row r="42" spans="1:2" x14ac:dyDescent="0.3">
      <c r="A42" s="2" t="s">
        <v>157</v>
      </c>
      <c r="B42" s="6">
        <v>554.8149072019587</v>
      </c>
    </row>
  </sheetData>
  <pageMargins left="0.7" right="0.7" top="0.75" bottom="0.75" header="0.3" footer="0.3"/>
  <pageSetup orientation="portrait" r:id="rId8"/>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E9326A-D93B-4DA1-96C1-9C4F35B6FCC2}">
  <dimension ref="A1:Z136"/>
  <sheetViews>
    <sheetView tabSelected="1" topLeftCell="A4" workbookViewId="0">
      <selection activeCell="N79" sqref="N79"/>
    </sheetView>
  </sheetViews>
  <sheetFormatPr defaultRowHeight="14.4" x14ac:dyDescent="0.3"/>
  <cols>
    <col min="1" max="1" width="1.5546875" customWidth="1"/>
  </cols>
  <sheetData>
    <row r="1" spans="1:26" x14ac:dyDescent="0.3">
      <c r="A1" s="9"/>
      <c r="B1" s="9"/>
      <c r="C1" s="9"/>
      <c r="D1" s="9"/>
      <c r="E1" s="9"/>
      <c r="F1" s="9"/>
      <c r="G1" s="9"/>
      <c r="H1" s="9"/>
      <c r="I1" s="9"/>
      <c r="J1" s="9"/>
      <c r="K1" s="9"/>
      <c r="L1" s="9"/>
      <c r="M1" s="9"/>
      <c r="N1" s="9"/>
      <c r="O1" s="9"/>
      <c r="P1" s="9"/>
      <c r="Q1" s="9"/>
      <c r="R1" s="9"/>
      <c r="S1" s="9"/>
      <c r="T1" s="9"/>
      <c r="U1" s="9"/>
      <c r="V1" s="9"/>
      <c r="W1" s="9"/>
      <c r="X1" s="9"/>
      <c r="Y1" s="8"/>
      <c r="Z1" s="8"/>
    </row>
    <row r="2" spans="1:26" x14ac:dyDescent="0.3">
      <c r="A2" s="9"/>
      <c r="B2" s="9"/>
      <c r="C2" s="9"/>
      <c r="D2" s="9"/>
      <c r="E2" s="9"/>
      <c r="F2" s="9"/>
      <c r="G2" s="9"/>
      <c r="H2" s="9"/>
      <c r="I2" s="9"/>
      <c r="J2" s="9"/>
      <c r="K2" s="9"/>
      <c r="L2" s="9"/>
      <c r="M2" s="9"/>
      <c r="N2" s="9"/>
      <c r="O2" s="9"/>
      <c r="P2" s="9"/>
      <c r="Q2" s="9"/>
      <c r="R2" s="9"/>
      <c r="S2" s="9"/>
      <c r="T2" s="9"/>
      <c r="U2" s="9"/>
      <c r="V2" s="9"/>
      <c r="W2" s="9"/>
      <c r="X2" s="9"/>
      <c r="Y2" s="8"/>
      <c r="Z2" s="8"/>
    </row>
    <row r="3" spans="1:26" x14ac:dyDescent="0.3">
      <c r="A3" s="9"/>
      <c r="B3" s="9"/>
      <c r="C3" s="9"/>
      <c r="D3" s="9"/>
      <c r="E3" s="9"/>
      <c r="F3" s="9"/>
      <c r="G3" s="9"/>
      <c r="H3" s="9"/>
      <c r="I3" s="9"/>
      <c r="J3" s="9"/>
      <c r="K3" s="9"/>
      <c r="L3" s="9"/>
      <c r="M3" s="9"/>
      <c r="N3" s="9"/>
      <c r="O3" s="9"/>
      <c r="P3" s="9"/>
      <c r="Q3" s="9"/>
      <c r="R3" s="9"/>
      <c r="S3" s="9"/>
      <c r="T3" s="9"/>
      <c r="U3" s="9"/>
      <c r="V3" s="9"/>
      <c r="W3" s="9"/>
      <c r="X3" s="9"/>
      <c r="Y3" s="8"/>
      <c r="Z3" s="8"/>
    </row>
    <row r="4" spans="1:26" x14ac:dyDescent="0.3">
      <c r="A4" s="9"/>
      <c r="B4" s="9"/>
      <c r="C4" s="9"/>
      <c r="D4" s="9"/>
      <c r="E4" s="9"/>
      <c r="F4" s="9"/>
      <c r="G4" s="9"/>
      <c r="H4" s="9"/>
      <c r="I4" s="9"/>
      <c r="J4" s="9"/>
      <c r="K4" s="9"/>
      <c r="L4" s="9"/>
      <c r="M4" s="9"/>
      <c r="N4" s="9"/>
      <c r="O4" s="9"/>
      <c r="P4" s="9"/>
      <c r="Q4" s="9"/>
      <c r="R4" s="9"/>
      <c r="S4" s="9"/>
      <c r="T4" s="9"/>
      <c r="U4" s="9"/>
      <c r="V4" s="9"/>
      <c r="W4" s="9"/>
      <c r="X4" s="9"/>
      <c r="Y4" s="8"/>
      <c r="Z4" s="8"/>
    </row>
    <row r="5" spans="1:26" x14ac:dyDescent="0.3">
      <c r="A5" s="9"/>
      <c r="B5" s="9"/>
      <c r="C5" s="9"/>
      <c r="D5" s="9"/>
      <c r="E5" s="9"/>
      <c r="F5" s="9"/>
      <c r="G5" s="9"/>
      <c r="H5" s="9"/>
      <c r="I5" s="9"/>
      <c r="J5" s="9"/>
      <c r="K5" s="9"/>
      <c r="L5" s="9"/>
      <c r="M5" s="9"/>
      <c r="N5" s="9"/>
      <c r="O5" s="9"/>
      <c r="P5" s="9"/>
      <c r="Q5" s="9"/>
      <c r="R5" s="9"/>
      <c r="S5" s="9"/>
      <c r="T5" s="9"/>
      <c r="U5" s="9"/>
      <c r="V5" s="9"/>
      <c r="W5" s="9"/>
      <c r="X5" s="9"/>
      <c r="Y5" s="8"/>
      <c r="Z5" s="8"/>
    </row>
    <row r="6" spans="1:26" x14ac:dyDescent="0.3">
      <c r="A6" s="9"/>
      <c r="B6" s="9"/>
      <c r="C6" s="9"/>
      <c r="D6" s="9"/>
      <c r="E6" s="9"/>
      <c r="F6" s="9"/>
      <c r="G6" s="9"/>
      <c r="H6" s="9"/>
      <c r="I6" s="9"/>
      <c r="J6" s="9"/>
      <c r="K6" s="9"/>
      <c r="L6" s="9"/>
      <c r="M6" s="9"/>
      <c r="N6" s="9"/>
      <c r="O6" s="9"/>
      <c r="P6" s="9"/>
      <c r="Q6" s="9"/>
      <c r="R6" s="9"/>
      <c r="S6" s="9"/>
      <c r="T6" s="9"/>
      <c r="U6" s="9"/>
      <c r="V6" s="9"/>
      <c r="W6" s="9"/>
      <c r="X6" s="9"/>
      <c r="Y6" s="8"/>
      <c r="Z6" s="8"/>
    </row>
    <row r="7" spans="1:26" x14ac:dyDescent="0.3">
      <c r="A7" s="9"/>
      <c r="B7" s="9"/>
      <c r="C7" s="9"/>
      <c r="D7" s="9"/>
      <c r="E7" s="9"/>
      <c r="F7" s="9"/>
      <c r="G7" s="9"/>
      <c r="H7" s="9"/>
      <c r="I7" s="9"/>
      <c r="J7" s="9"/>
      <c r="K7" s="9"/>
      <c r="L7" s="9"/>
      <c r="M7" s="9"/>
      <c r="N7" s="9"/>
      <c r="O7" s="9"/>
      <c r="P7" s="9"/>
      <c r="Q7" s="9"/>
      <c r="R7" s="9"/>
      <c r="S7" s="9"/>
      <c r="T7" s="9"/>
      <c r="U7" s="9"/>
      <c r="V7" s="9"/>
      <c r="W7" s="9"/>
      <c r="X7" s="9"/>
      <c r="Y7" s="8"/>
      <c r="Z7" s="8"/>
    </row>
    <row r="8" spans="1:26" x14ac:dyDescent="0.3">
      <c r="A8" s="9"/>
      <c r="B8" s="9"/>
      <c r="C8" s="9"/>
      <c r="D8" s="9"/>
      <c r="E8" s="9"/>
      <c r="F8" s="9"/>
      <c r="G8" s="9"/>
      <c r="H8" s="9"/>
      <c r="I8" s="9"/>
      <c r="J8" s="9"/>
      <c r="K8" s="9"/>
      <c r="L8" s="9"/>
      <c r="M8" s="9"/>
      <c r="N8" s="9"/>
      <c r="O8" s="9"/>
      <c r="P8" s="9"/>
      <c r="Q8" s="9"/>
      <c r="R8" s="9"/>
      <c r="S8" s="9"/>
      <c r="T8" s="9"/>
      <c r="U8" s="9"/>
      <c r="V8" s="9"/>
      <c r="W8" s="9"/>
      <c r="X8" s="9"/>
      <c r="Y8" s="8"/>
      <c r="Z8" s="8"/>
    </row>
    <row r="9" spans="1:26" x14ac:dyDescent="0.3">
      <c r="A9" s="9"/>
      <c r="B9" s="9"/>
      <c r="C9" s="9"/>
      <c r="D9" s="9"/>
      <c r="E9" s="9"/>
      <c r="F9" s="9"/>
      <c r="G9" s="9"/>
      <c r="H9" s="9"/>
      <c r="I9" s="9"/>
      <c r="J9" s="9"/>
      <c r="K9" s="9"/>
      <c r="L9" s="9"/>
      <c r="M9" s="9"/>
      <c r="N9" s="9"/>
      <c r="O9" s="9"/>
      <c r="P9" s="9"/>
      <c r="Q9" s="9"/>
      <c r="R9" s="9"/>
      <c r="S9" s="9"/>
      <c r="T9" s="9"/>
      <c r="U9" s="9"/>
      <c r="V9" s="9"/>
      <c r="W9" s="9"/>
      <c r="X9" s="9"/>
      <c r="Y9" s="8"/>
      <c r="Z9" s="8"/>
    </row>
    <row r="10" spans="1:26" x14ac:dyDescent="0.3">
      <c r="A10" s="9"/>
      <c r="B10" s="9"/>
      <c r="C10" s="9"/>
      <c r="D10" s="9"/>
      <c r="E10" s="9"/>
      <c r="F10" s="9"/>
      <c r="G10" s="9"/>
      <c r="H10" s="9"/>
      <c r="I10" s="9"/>
      <c r="J10" s="9"/>
      <c r="K10" s="9"/>
      <c r="L10" s="9"/>
      <c r="M10" s="9"/>
      <c r="N10" s="9"/>
      <c r="O10" s="9"/>
      <c r="P10" s="9"/>
      <c r="Q10" s="9"/>
      <c r="R10" s="9"/>
      <c r="S10" s="9"/>
      <c r="T10" s="9"/>
      <c r="U10" s="9"/>
      <c r="V10" s="9"/>
      <c r="W10" s="9"/>
      <c r="X10" s="9"/>
      <c r="Y10" s="8"/>
      <c r="Z10" s="8"/>
    </row>
    <row r="11" spans="1:26" x14ac:dyDescent="0.3">
      <c r="A11" s="9"/>
      <c r="B11" s="9"/>
      <c r="C11" s="9"/>
      <c r="D11" s="9"/>
      <c r="E11" s="9"/>
      <c r="F11" s="9"/>
      <c r="G11" s="9"/>
      <c r="H11" s="9"/>
      <c r="I11" s="9"/>
      <c r="J11" s="9"/>
      <c r="K11" s="9"/>
      <c r="L11" s="9"/>
      <c r="M11" s="9"/>
      <c r="N11" s="9"/>
      <c r="O11" s="9"/>
      <c r="P11" s="9"/>
      <c r="Q11" s="9"/>
      <c r="R11" s="9"/>
      <c r="S11" s="9"/>
      <c r="T11" s="9"/>
      <c r="U11" s="9"/>
      <c r="V11" s="9"/>
      <c r="W11" s="9"/>
      <c r="X11" s="9"/>
      <c r="Y11" s="8"/>
      <c r="Z11" s="8"/>
    </row>
    <row r="12" spans="1:26" x14ac:dyDescent="0.3">
      <c r="A12" s="9"/>
      <c r="B12" s="9"/>
      <c r="C12" s="9"/>
      <c r="D12" s="9"/>
      <c r="E12" s="9"/>
      <c r="F12" s="9"/>
      <c r="G12" s="9"/>
      <c r="H12" s="9"/>
      <c r="I12" s="9"/>
      <c r="J12" s="9"/>
      <c r="K12" s="9"/>
      <c r="L12" s="9"/>
      <c r="M12" s="9"/>
      <c r="N12" s="9"/>
      <c r="O12" s="9"/>
      <c r="P12" s="9"/>
      <c r="Q12" s="9"/>
      <c r="R12" s="9"/>
      <c r="S12" s="9"/>
      <c r="T12" s="9"/>
      <c r="U12" s="9"/>
      <c r="V12" s="9"/>
      <c r="W12" s="9"/>
      <c r="X12" s="9"/>
      <c r="Y12" s="8"/>
      <c r="Z12" s="8"/>
    </row>
    <row r="13" spans="1:26" x14ac:dyDescent="0.3">
      <c r="A13" s="9"/>
      <c r="B13" s="9"/>
      <c r="C13" s="9"/>
      <c r="D13" s="9"/>
      <c r="E13" s="9"/>
      <c r="F13" s="9"/>
      <c r="G13" s="9"/>
      <c r="H13" s="9"/>
      <c r="I13" s="9"/>
      <c r="J13" s="9"/>
      <c r="K13" s="9"/>
      <c r="L13" s="9"/>
      <c r="M13" s="9"/>
      <c r="N13" s="9"/>
      <c r="O13" s="9"/>
      <c r="P13" s="9"/>
      <c r="Q13" s="9"/>
      <c r="R13" s="9"/>
      <c r="S13" s="9"/>
      <c r="T13" s="9"/>
      <c r="U13" s="9"/>
      <c r="V13" s="9"/>
      <c r="W13" s="9"/>
      <c r="X13" s="9"/>
      <c r="Y13" s="8"/>
      <c r="Z13" s="8"/>
    </row>
    <row r="14" spans="1:26" x14ac:dyDescent="0.3">
      <c r="A14" s="9"/>
      <c r="B14" s="9"/>
      <c r="C14" s="9"/>
      <c r="D14" s="9"/>
      <c r="E14" s="9"/>
      <c r="F14" s="9"/>
      <c r="G14" s="9"/>
      <c r="H14" s="9"/>
      <c r="I14" s="9"/>
      <c r="J14" s="9"/>
      <c r="K14" s="9"/>
      <c r="L14" s="9"/>
      <c r="M14" s="9"/>
      <c r="N14" s="9"/>
      <c r="O14" s="9"/>
      <c r="P14" s="9"/>
      <c r="Q14" s="9"/>
      <c r="R14" s="9"/>
      <c r="S14" s="9"/>
      <c r="T14" s="9"/>
      <c r="U14" s="9"/>
      <c r="V14" s="9"/>
      <c r="W14" s="9"/>
      <c r="X14" s="9"/>
      <c r="Y14" s="8"/>
      <c r="Z14" s="8"/>
    </row>
    <row r="15" spans="1:26" x14ac:dyDescent="0.3">
      <c r="A15" s="9"/>
      <c r="B15" s="9"/>
      <c r="C15" s="9"/>
      <c r="D15" s="9"/>
      <c r="E15" s="9"/>
      <c r="F15" s="9"/>
      <c r="G15" s="9"/>
      <c r="H15" s="9"/>
      <c r="I15" s="9"/>
      <c r="J15" s="9"/>
      <c r="K15" s="9"/>
      <c r="L15" s="9"/>
      <c r="M15" s="9"/>
      <c r="N15" s="9"/>
      <c r="O15" s="9"/>
      <c r="P15" s="9"/>
      <c r="Q15" s="9"/>
      <c r="R15" s="9"/>
      <c r="S15" s="9"/>
      <c r="T15" s="9"/>
      <c r="U15" s="9"/>
      <c r="V15" s="9"/>
      <c r="W15" s="9"/>
      <c r="X15" s="9"/>
      <c r="Y15" s="8"/>
      <c r="Z15" s="8"/>
    </row>
    <row r="16" spans="1:26" x14ac:dyDescent="0.3">
      <c r="A16" s="9"/>
      <c r="B16" s="9"/>
      <c r="C16" s="9"/>
      <c r="D16" s="9"/>
      <c r="E16" s="9"/>
      <c r="F16" s="9"/>
      <c r="G16" s="9"/>
      <c r="H16" s="9"/>
      <c r="I16" s="9"/>
      <c r="J16" s="9"/>
      <c r="K16" s="9"/>
      <c r="L16" s="9"/>
      <c r="M16" s="9"/>
      <c r="N16" s="9"/>
      <c r="O16" s="9"/>
      <c r="P16" s="9"/>
      <c r="Q16" s="9"/>
      <c r="R16" s="9"/>
      <c r="S16" s="9"/>
      <c r="T16" s="9"/>
      <c r="U16" s="9"/>
      <c r="V16" s="9"/>
      <c r="W16" s="9"/>
      <c r="X16" s="9"/>
      <c r="Y16" s="8"/>
      <c r="Z16" s="8"/>
    </row>
    <row r="17" spans="1:26" x14ac:dyDescent="0.3">
      <c r="A17" s="9"/>
      <c r="B17" s="9"/>
      <c r="C17" s="9"/>
      <c r="D17" s="9"/>
      <c r="E17" s="9"/>
      <c r="F17" s="9"/>
      <c r="G17" s="9"/>
      <c r="H17" s="9"/>
      <c r="I17" s="9"/>
      <c r="J17" s="9"/>
      <c r="K17" s="9"/>
      <c r="L17" s="9"/>
      <c r="M17" s="9"/>
      <c r="N17" s="9"/>
      <c r="O17" s="9"/>
      <c r="P17" s="9"/>
      <c r="Q17" s="9"/>
      <c r="R17" s="9"/>
      <c r="S17" s="9"/>
      <c r="T17" s="9"/>
      <c r="U17" s="9"/>
      <c r="V17" s="9"/>
      <c r="W17" s="9"/>
      <c r="X17" s="9"/>
      <c r="Y17" s="8"/>
      <c r="Z17" s="8"/>
    </row>
    <row r="18" spans="1:26" x14ac:dyDescent="0.3">
      <c r="A18" s="9"/>
      <c r="B18" s="9"/>
      <c r="C18" s="9"/>
      <c r="D18" s="9"/>
      <c r="E18" s="9"/>
      <c r="F18" s="9"/>
      <c r="G18" s="9"/>
      <c r="H18" s="9"/>
      <c r="I18" s="9"/>
      <c r="J18" s="9"/>
      <c r="K18" s="9"/>
      <c r="L18" s="9"/>
      <c r="M18" s="9"/>
      <c r="N18" s="9"/>
      <c r="O18" s="9"/>
      <c r="P18" s="9"/>
      <c r="Q18" s="9"/>
      <c r="R18" s="9"/>
      <c r="S18" s="9"/>
      <c r="T18" s="9"/>
      <c r="U18" s="9"/>
      <c r="V18" s="9"/>
      <c r="W18" s="9"/>
      <c r="X18" s="9"/>
      <c r="Y18" s="8"/>
      <c r="Z18" s="8"/>
    </row>
    <row r="19" spans="1:26" x14ac:dyDescent="0.3">
      <c r="A19" s="9"/>
      <c r="B19" s="9"/>
      <c r="C19" s="9"/>
      <c r="D19" s="9"/>
      <c r="E19" s="9"/>
      <c r="F19" s="9"/>
      <c r="G19" s="9"/>
      <c r="H19" s="9"/>
      <c r="I19" s="9"/>
      <c r="J19" s="9"/>
      <c r="K19" s="9"/>
      <c r="L19" s="9"/>
      <c r="M19" s="9"/>
      <c r="N19" s="9"/>
      <c r="O19" s="9"/>
      <c r="P19" s="9"/>
      <c r="Q19" s="9"/>
      <c r="R19" s="9"/>
      <c r="S19" s="9"/>
      <c r="T19" s="9"/>
      <c r="U19" s="9"/>
      <c r="V19" s="9"/>
      <c r="W19" s="9"/>
      <c r="X19" s="9"/>
      <c r="Y19" s="8"/>
      <c r="Z19" s="8"/>
    </row>
    <row r="20" spans="1:26" x14ac:dyDescent="0.3">
      <c r="A20" s="9"/>
      <c r="B20" s="9"/>
      <c r="C20" s="9"/>
      <c r="D20" s="9"/>
      <c r="E20" s="9"/>
      <c r="F20" s="9"/>
      <c r="G20" s="9"/>
      <c r="H20" s="9"/>
      <c r="I20" s="9"/>
      <c r="J20" s="9"/>
      <c r="K20" s="9"/>
      <c r="L20" s="9"/>
      <c r="M20" s="9"/>
      <c r="N20" s="9"/>
      <c r="O20" s="9"/>
      <c r="P20" s="9"/>
      <c r="Q20" s="9"/>
      <c r="R20" s="9"/>
      <c r="S20" s="9"/>
      <c r="T20" s="9"/>
      <c r="U20" s="9"/>
      <c r="V20" s="9"/>
      <c r="W20" s="9"/>
      <c r="X20" s="9"/>
      <c r="Y20" s="8"/>
      <c r="Z20" s="8"/>
    </row>
    <row r="21" spans="1:26" x14ac:dyDescent="0.3">
      <c r="A21" s="9"/>
      <c r="B21" s="9"/>
      <c r="C21" s="9"/>
      <c r="D21" s="9"/>
      <c r="E21" s="9"/>
      <c r="F21" s="9"/>
      <c r="G21" s="9"/>
      <c r="H21" s="9"/>
      <c r="I21" s="9"/>
      <c r="J21" s="9"/>
      <c r="K21" s="9"/>
      <c r="L21" s="9"/>
      <c r="M21" s="9"/>
      <c r="N21" s="9"/>
      <c r="O21" s="9"/>
      <c r="P21" s="9"/>
      <c r="Q21" s="9"/>
      <c r="R21" s="9"/>
      <c r="S21" s="9"/>
      <c r="T21" s="9"/>
      <c r="U21" s="9"/>
      <c r="V21" s="9"/>
      <c r="W21" s="9"/>
      <c r="X21" s="9"/>
      <c r="Y21" s="8"/>
      <c r="Z21" s="8"/>
    </row>
    <row r="22" spans="1:26" x14ac:dyDescent="0.3">
      <c r="A22" s="9"/>
      <c r="B22" s="9"/>
      <c r="C22" s="9"/>
      <c r="D22" s="9"/>
      <c r="E22" s="9"/>
      <c r="F22" s="9"/>
      <c r="G22" s="9"/>
      <c r="H22" s="9"/>
      <c r="I22" s="9"/>
      <c r="J22" s="9"/>
      <c r="K22" s="9"/>
      <c r="L22" s="9"/>
      <c r="M22" s="9"/>
      <c r="N22" s="9"/>
      <c r="O22" s="9"/>
      <c r="P22" s="9"/>
      <c r="Q22" s="9"/>
      <c r="R22" s="9"/>
      <c r="S22" s="9"/>
      <c r="T22" s="9"/>
      <c r="U22" s="9"/>
      <c r="V22" s="9"/>
      <c r="W22" s="9"/>
      <c r="X22" s="9"/>
      <c r="Y22" s="8"/>
      <c r="Z22" s="8"/>
    </row>
    <row r="23" spans="1:26" x14ac:dyDescent="0.3">
      <c r="A23" s="9"/>
      <c r="B23" s="9"/>
      <c r="C23" s="9"/>
      <c r="D23" s="9"/>
      <c r="E23" s="9"/>
      <c r="F23" s="9"/>
      <c r="G23" s="9"/>
      <c r="H23" s="9"/>
      <c r="I23" s="9"/>
      <c r="J23" s="9"/>
      <c r="K23" s="9"/>
      <c r="L23" s="9"/>
      <c r="M23" s="9"/>
      <c r="N23" s="9"/>
      <c r="O23" s="9"/>
      <c r="P23" s="9"/>
      <c r="Q23" s="9"/>
      <c r="R23" s="9"/>
      <c r="S23" s="9"/>
      <c r="T23" s="9"/>
      <c r="U23" s="9"/>
      <c r="V23" s="9"/>
      <c r="W23" s="9"/>
      <c r="X23" s="9"/>
      <c r="Y23" s="8"/>
      <c r="Z23" s="8"/>
    </row>
    <row r="24" spans="1:26" x14ac:dyDescent="0.3">
      <c r="A24" s="9"/>
      <c r="B24" s="9"/>
      <c r="C24" s="9"/>
      <c r="D24" s="9"/>
      <c r="E24" s="9"/>
      <c r="F24" s="9"/>
      <c r="G24" s="9"/>
      <c r="H24" s="9"/>
      <c r="I24" s="9"/>
      <c r="J24" s="9"/>
      <c r="K24" s="9"/>
      <c r="L24" s="9"/>
      <c r="M24" s="9"/>
      <c r="N24" s="9"/>
      <c r="O24" s="9"/>
      <c r="P24" s="9"/>
      <c r="Q24" s="9"/>
      <c r="R24" s="9"/>
      <c r="S24" s="9"/>
      <c r="T24" s="9"/>
      <c r="U24" s="9"/>
      <c r="V24" s="9"/>
      <c r="W24" s="9"/>
      <c r="X24" s="9"/>
      <c r="Y24" s="8"/>
      <c r="Z24" s="8"/>
    </row>
    <row r="25" spans="1:26" x14ac:dyDescent="0.3">
      <c r="A25" s="9"/>
      <c r="B25" s="9"/>
      <c r="C25" s="9"/>
      <c r="D25" s="9"/>
      <c r="E25" s="9"/>
      <c r="F25" s="9"/>
      <c r="G25" s="9"/>
      <c r="H25" s="9"/>
      <c r="I25" s="9"/>
      <c r="J25" s="9"/>
      <c r="K25" s="9"/>
      <c r="L25" s="9"/>
      <c r="M25" s="9"/>
      <c r="N25" s="9"/>
      <c r="O25" s="9"/>
      <c r="P25" s="9"/>
      <c r="Q25" s="9"/>
      <c r="R25" s="9"/>
      <c r="S25" s="9"/>
      <c r="T25" s="9"/>
      <c r="U25" s="9"/>
      <c r="V25" s="9"/>
      <c r="W25" s="9"/>
      <c r="X25" s="9"/>
      <c r="Y25" s="8"/>
      <c r="Z25" s="8"/>
    </row>
    <row r="26" spans="1:26" x14ac:dyDescent="0.3">
      <c r="A26" s="9"/>
      <c r="B26" s="9"/>
      <c r="C26" s="9"/>
      <c r="D26" s="9"/>
      <c r="E26" s="9"/>
      <c r="F26" s="9"/>
      <c r="G26" s="9"/>
      <c r="H26" s="9"/>
      <c r="I26" s="9"/>
      <c r="J26" s="9"/>
      <c r="K26" s="9"/>
      <c r="L26" s="9"/>
      <c r="M26" s="9"/>
      <c r="N26" s="9"/>
      <c r="O26" s="9"/>
      <c r="P26" s="9"/>
      <c r="Q26" s="9"/>
      <c r="R26" s="9"/>
      <c r="S26" s="9"/>
      <c r="T26" s="9"/>
      <c r="U26" s="9"/>
      <c r="V26" s="9"/>
      <c r="W26" s="9"/>
      <c r="X26" s="9"/>
      <c r="Y26" s="8"/>
      <c r="Z26" s="8"/>
    </row>
    <row r="27" spans="1:26" x14ac:dyDescent="0.3">
      <c r="A27" s="9"/>
      <c r="B27" s="9"/>
      <c r="C27" s="9"/>
      <c r="D27" s="9"/>
      <c r="E27" s="9"/>
      <c r="F27" s="9"/>
      <c r="G27" s="9"/>
      <c r="H27" s="9"/>
      <c r="I27" s="9"/>
      <c r="J27" s="9"/>
      <c r="K27" s="9"/>
      <c r="L27" s="9"/>
      <c r="M27" s="9"/>
      <c r="N27" s="9"/>
      <c r="O27" s="9"/>
      <c r="P27" s="9"/>
      <c r="Q27" s="9"/>
      <c r="R27" s="9"/>
      <c r="S27" s="9"/>
      <c r="T27" s="9"/>
      <c r="U27" s="9"/>
      <c r="V27" s="9"/>
      <c r="W27" s="9"/>
      <c r="X27" s="9"/>
      <c r="Y27" s="8"/>
      <c r="Z27" s="8"/>
    </row>
    <row r="28" spans="1:26" x14ac:dyDescent="0.3">
      <c r="A28" s="9"/>
      <c r="B28" s="9"/>
      <c r="C28" s="9"/>
      <c r="D28" s="9"/>
      <c r="E28" s="9"/>
      <c r="F28" s="9"/>
      <c r="G28" s="9"/>
      <c r="H28" s="9"/>
      <c r="I28" s="9"/>
      <c r="J28" s="9"/>
      <c r="K28" s="9"/>
      <c r="L28" s="9"/>
      <c r="M28" s="9"/>
      <c r="N28" s="9"/>
      <c r="O28" s="9"/>
      <c r="P28" s="9"/>
      <c r="Q28" s="9"/>
      <c r="R28" s="9"/>
      <c r="S28" s="9"/>
      <c r="T28" s="9"/>
      <c r="U28" s="9"/>
      <c r="V28" s="9"/>
      <c r="W28" s="9"/>
      <c r="X28" s="9"/>
      <c r="Y28" s="8"/>
      <c r="Z28" s="8"/>
    </row>
    <row r="29" spans="1:26" x14ac:dyDescent="0.3">
      <c r="A29" s="9"/>
      <c r="B29" s="9"/>
      <c r="C29" s="9"/>
      <c r="D29" s="9"/>
      <c r="E29" s="9"/>
      <c r="F29" s="9"/>
      <c r="G29" s="9"/>
      <c r="H29" s="9"/>
      <c r="I29" s="9"/>
      <c r="J29" s="9"/>
      <c r="K29" s="9"/>
      <c r="L29" s="9"/>
      <c r="M29" s="9"/>
      <c r="N29" s="9"/>
      <c r="O29" s="9"/>
      <c r="P29" s="9"/>
      <c r="Q29" s="9"/>
      <c r="R29" s="9"/>
      <c r="S29" s="9"/>
      <c r="T29" s="9"/>
      <c r="U29" s="9"/>
      <c r="V29" s="9"/>
      <c r="W29" s="9"/>
      <c r="X29" s="9"/>
      <c r="Y29" s="8"/>
      <c r="Z29" s="8"/>
    </row>
    <row r="30" spans="1:26" x14ac:dyDescent="0.3">
      <c r="A30" s="9"/>
      <c r="B30" s="9"/>
      <c r="C30" s="9"/>
      <c r="D30" s="9"/>
      <c r="E30" s="9"/>
      <c r="F30" s="9"/>
      <c r="G30" s="9"/>
      <c r="H30" s="9"/>
      <c r="I30" s="9"/>
      <c r="J30" s="9"/>
      <c r="K30" s="9"/>
      <c r="L30" s="9"/>
      <c r="M30" s="9"/>
      <c r="N30" s="9"/>
      <c r="O30" s="9"/>
      <c r="P30" s="9"/>
      <c r="Q30" s="9"/>
      <c r="R30" s="9"/>
      <c r="S30" s="9"/>
      <c r="T30" s="9"/>
      <c r="U30" s="9"/>
      <c r="V30" s="9"/>
      <c r="W30" s="9"/>
      <c r="X30" s="9"/>
      <c r="Y30" s="8"/>
      <c r="Z30" s="8"/>
    </row>
    <row r="31" spans="1:26" x14ac:dyDescent="0.3">
      <c r="A31" s="9"/>
      <c r="B31" s="9"/>
      <c r="D31" s="9"/>
      <c r="E31" s="9"/>
      <c r="F31" s="9"/>
      <c r="G31" s="9"/>
      <c r="H31" s="9"/>
      <c r="I31" s="9"/>
      <c r="J31" s="9"/>
      <c r="K31" s="9"/>
      <c r="L31" s="9"/>
      <c r="M31" s="9"/>
      <c r="N31" s="9"/>
      <c r="O31" s="9"/>
      <c r="P31" s="9"/>
      <c r="Q31" s="9"/>
      <c r="R31" s="9"/>
      <c r="S31" s="9"/>
      <c r="T31" s="9"/>
      <c r="U31" s="9"/>
      <c r="V31" s="9"/>
      <c r="W31" s="9"/>
      <c r="X31" s="9"/>
      <c r="Y31" s="8"/>
      <c r="Z31" s="8"/>
    </row>
    <row r="32" spans="1:26" x14ac:dyDescent="0.3">
      <c r="A32" s="8"/>
      <c r="B32" s="8"/>
      <c r="C32" s="9"/>
      <c r="D32" s="9"/>
      <c r="E32" s="9"/>
      <c r="F32" s="9"/>
      <c r="G32" s="9"/>
      <c r="H32" s="9"/>
      <c r="I32" s="9"/>
      <c r="J32" s="9"/>
      <c r="K32" s="9"/>
      <c r="L32" s="9"/>
      <c r="M32" s="9"/>
      <c r="N32" s="9"/>
      <c r="O32" s="9"/>
      <c r="P32" s="9"/>
      <c r="Q32" s="9"/>
      <c r="R32" s="9"/>
      <c r="S32" s="9"/>
      <c r="T32" s="9"/>
      <c r="U32" s="9"/>
      <c r="V32" s="9"/>
      <c r="W32" s="9"/>
      <c r="X32" s="9"/>
      <c r="Y32" s="8"/>
      <c r="Z32" s="8"/>
    </row>
    <row r="33" spans="1:26" x14ac:dyDescent="0.3">
      <c r="A33" s="8"/>
      <c r="B33" s="8"/>
      <c r="C33" s="9"/>
      <c r="D33" s="9"/>
      <c r="E33" s="9"/>
      <c r="F33" s="9"/>
      <c r="G33" s="9"/>
      <c r="H33" s="9"/>
      <c r="I33" s="9"/>
      <c r="J33" s="9"/>
      <c r="K33" s="9"/>
      <c r="L33" s="9"/>
      <c r="M33" s="9"/>
      <c r="N33" s="9"/>
      <c r="O33" s="9"/>
      <c r="P33" s="9"/>
      <c r="Q33" s="9"/>
      <c r="R33" s="9"/>
      <c r="S33" s="9"/>
      <c r="T33" s="9"/>
      <c r="U33" s="9"/>
      <c r="V33" s="9"/>
      <c r="W33" s="9"/>
      <c r="X33" s="8"/>
      <c r="Y33" s="8"/>
      <c r="Z33" s="8"/>
    </row>
    <row r="34" spans="1:26" x14ac:dyDescent="0.3">
      <c r="A34" s="8"/>
      <c r="B34" s="8"/>
      <c r="C34" s="8"/>
      <c r="D34" s="8"/>
      <c r="E34" s="8"/>
      <c r="F34" s="8"/>
      <c r="G34" s="8"/>
      <c r="H34" s="8"/>
      <c r="I34" s="8"/>
      <c r="J34" s="8"/>
      <c r="K34" s="8"/>
      <c r="L34" s="8"/>
      <c r="M34" s="8"/>
      <c r="N34" s="8"/>
      <c r="O34" s="8"/>
      <c r="P34" s="8"/>
      <c r="Q34" s="8"/>
      <c r="R34" s="8"/>
      <c r="S34" s="8"/>
      <c r="T34" s="8"/>
      <c r="U34" s="8"/>
      <c r="V34" s="8"/>
      <c r="W34" s="8"/>
      <c r="X34" s="8"/>
      <c r="Y34" s="8"/>
      <c r="Z34" s="8"/>
    </row>
    <row r="35" spans="1:26" x14ac:dyDescent="0.3">
      <c r="A35" s="8"/>
      <c r="B35" s="8"/>
      <c r="C35" s="8"/>
      <c r="D35" s="8"/>
      <c r="E35" s="8"/>
      <c r="F35" s="8"/>
      <c r="G35" s="8"/>
      <c r="H35" s="8"/>
      <c r="I35" s="8"/>
      <c r="J35" s="8"/>
      <c r="K35" s="8"/>
      <c r="L35" s="8"/>
      <c r="M35" s="8"/>
      <c r="N35" s="8"/>
      <c r="O35" s="8"/>
      <c r="P35" s="8"/>
      <c r="Q35" s="8"/>
      <c r="R35" s="8"/>
      <c r="S35" s="8"/>
      <c r="T35" s="8"/>
      <c r="U35" s="8"/>
      <c r="V35" s="8"/>
      <c r="W35" s="8"/>
      <c r="X35" s="8"/>
      <c r="Y35" s="8"/>
      <c r="Z35" s="8"/>
    </row>
    <row r="36" spans="1:26" x14ac:dyDescent="0.3">
      <c r="A36" s="8"/>
      <c r="B36" s="8"/>
      <c r="C36" s="8"/>
      <c r="D36" s="8"/>
      <c r="E36" s="8"/>
      <c r="F36" s="8"/>
      <c r="G36" s="8"/>
      <c r="H36" s="8"/>
      <c r="I36" s="8"/>
      <c r="J36" s="8"/>
      <c r="K36" s="8"/>
      <c r="L36" s="8"/>
      <c r="M36" s="8"/>
      <c r="N36" s="8"/>
      <c r="O36" s="8"/>
      <c r="P36" s="8"/>
      <c r="Q36" s="8"/>
      <c r="R36" s="8"/>
      <c r="S36" s="8"/>
      <c r="T36" s="8"/>
      <c r="U36" s="8"/>
      <c r="V36" s="8"/>
      <c r="W36" s="8"/>
      <c r="X36" s="8"/>
      <c r="Y36" s="8"/>
      <c r="Z36" s="8"/>
    </row>
    <row r="37" spans="1:26" x14ac:dyDescent="0.3">
      <c r="A37" s="8"/>
      <c r="B37" s="8"/>
      <c r="C37" s="8"/>
      <c r="D37" s="8"/>
      <c r="E37" s="8"/>
      <c r="F37" s="8"/>
      <c r="G37" s="8"/>
      <c r="H37" s="8"/>
      <c r="I37" s="8"/>
      <c r="J37" s="8"/>
      <c r="K37" s="8"/>
      <c r="L37" s="8"/>
      <c r="M37" s="8"/>
      <c r="N37" s="8"/>
      <c r="O37" s="8"/>
      <c r="P37" s="8"/>
      <c r="Q37" s="8"/>
      <c r="R37" s="8"/>
      <c r="S37" s="8"/>
      <c r="T37" s="8"/>
      <c r="U37" s="8"/>
      <c r="V37" s="8"/>
      <c r="W37" s="8"/>
      <c r="X37" s="8"/>
      <c r="Y37" s="8"/>
      <c r="Z37" s="8"/>
    </row>
    <row r="38" spans="1:26" x14ac:dyDescent="0.3">
      <c r="A38" s="8"/>
      <c r="B38" s="8"/>
      <c r="C38" s="8"/>
      <c r="D38" s="8"/>
      <c r="E38" s="8"/>
      <c r="F38" s="8"/>
      <c r="G38" s="8"/>
      <c r="H38" s="8"/>
      <c r="I38" s="8"/>
      <c r="J38" s="8"/>
      <c r="K38" s="8"/>
      <c r="L38" s="8"/>
      <c r="M38" s="8"/>
      <c r="N38" s="8"/>
      <c r="O38" s="8"/>
      <c r="P38" s="8"/>
      <c r="Q38" s="8"/>
      <c r="R38" s="8"/>
      <c r="S38" s="8"/>
      <c r="T38" s="8"/>
      <c r="U38" s="8"/>
      <c r="V38" s="8"/>
      <c r="W38" s="8"/>
      <c r="X38" s="8"/>
      <c r="Y38" s="8"/>
      <c r="Z38" s="8"/>
    </row>
    <row r="39" spans="1:26" x14ac:dyDescent="0.3">
      <c r="A39" s="8"/>
      <c r="B39" s="8"/>
      <c r="C39" s="8"/>
      <c r="D39" s="8"/>
      <c r="E39" s="8"/>
      <c r="F39" s="8"/>
      <c r="G39" s="8"/>
      <c r="H39" s="8"/>
      <c r="I39" s="8"/>
      <c r="J39" s="8"/>
      <c r="K39" s="8"/>
      <c r="L39" s="8"/>
      <c r="M39" s="8"/>
      <c r="N39" s="8"/>
      <c r="O39" s="8"/>
      <c r="P39" s="8"/>
      <c r="Q39" s="8"/>
      <c r="R39" s="8"/>
      <c r="S39" s="8"/>
      <c r="T39" s="8"/>
      <c r="U39" s="8"/>
      <c r="V39" s="8"/>
      <c r="W39" s="8"/>
      <c r="X39" s="8"/>
      <c r="Y39" s="8"/>
      <c r="Z39" s="8"/>
    </row>
    <row r="40" spans="1:26" x14ac:dyDescent="0.3">
      <c r="A40" s="8"/>
      <c r="B40" s="8"/>
      <c r="C40" s="8"/>
      <c r="D40" s="8"/>
      <c r="E40" s="8"/>
      <c r="F40" s="8"/>
      <c r="G40" s="8"/>
      <c r="H40" s="8"/>
      <c r="I40" s="8"/>
      <c r="J40" s="8"/>
      <c r="K40" s="8"/>
      <c r="L40" s="8"/>
      <c r="M40" s="8"/>
      <c r="N40" s="8"/>
      <c r="O40" s="8"/>
      <c r="P40" s="8"/>
      <c r="Q40" s="8"/>
      <c r="R40" s="8"/>
      <c r="S40" s="8"/>
      <c r="T40" s="8"/>
      <c r="U40" s="8"/>
      <c r="V40" s="8"/>
      <c r="W40" s="8"/>
      <c r="X40" s="8"/>
      <c r="Y40" s="8"/>
      <c r="Z40" s="8"/>
    </row>
    <row r="41" spans="1:26" x14ac:dyDescent="0.3">
      <c r="A41" s="8"/>
      <c r="B41" s="8"/>
      <c r="C41" s="8"/>
      <c r="D41" s="8"/>
      <c r="E41" s="8"/>
      <c r="F41" s="8"/>
      <c r="G41" s="8"/>
      <c r="H41" s="8"/>
      <c r="I41" s="8"/>
      <c r="J41" s="8"/>
      <c r="K41" s="8"/>
      <c r="L41" s="8"/>
      <c r="M41" s="8"/>
      <c r="N41" s="8"/>
      <c r="O41" s="8"/>
      <c r="P41" s="8"/>
      <c r="Q41" s="8"/>
      <c r="R41" s="8"/>
      <c r="S41" s="8"/>
      <c r="T41" s="8"/>
      <c r="U41" s="8"/>
      <c r="V41" s="8"/>
      <c r="W41" s="8"/>
      <c r="X41" s="8"/>
      <c r="Y41" s="8"/>
      <c r="Z41" s="8"/>
    </row>
    <row r="42" spans="1:26" x14ac:dyDescent="0.3">
      <c r="A42" s="8"/>
      <c r="B42" s="8"/>
      <c r="C42" s="8"/>
      <c r="D42" s="8"/>
      <c r="E42" s="8"/>
      <c r="F42" s="8"/>
      <c r="G42" s="8"/>
      <c r="H42" s="8"/>
      <c r="I42" s="8"/>
      <c r="J42" s="8"/>
      <c r="K42" s="8"/>
      <c r="L42" s="8"/>
      <c r="M42" s="8"/>
      <c r="N42" s="8"/>
      <c r="O42" s="8"/>
      <c r="P42" s="8"/>
      <c r="Q42" s="8"/>
      <c r="R42" s="8"/>
      <c r="S42" s="8"/>
      <c r="T42" s="8"/>
      <c r="U42" s="8"/>
      <c r="V42" s="8"/>
      <c r="W42" s="8"/>
      <c r="X42" s="8"/>
      <c r="Y42" s="8"/>
      <c r="Z42" s="8"/>
    </row>
    <row r="43" spans="1:26" x14ac:dyDescent="0.3">
      <c r="A43" s="8"/>
      <c r="B43" s="8"/>
      <c r="C43" s="8"/>
      <c r="D43" s="8"/>
      <c r="E43" s="8"/>
      <c r="F43" s="8"/>
      <c r="G43" s="8"/>
      <c r="H43" s="8"/>
      <c r="I43" s="8"/>
      <c r="J43" s="8"/>
      <c r="K43" s="8"/>
      <c r="L43" s="8"/>
      <c r="M43" s="8"/>
      <c r="N43" s="8"/>
      <c r="O43" s="8"/>
      <c r="P43" s="8"/>
      <c r="Q43" s="8"/>
      <c r="R43" s="8"/>
      <c r="S43" s="8"/>
      <c r="T43" s="8"/>
      <c r="U43" s="8"/>
      <c r="V43" s="8"/>
      <c r="W43" s="8"/>
      <c r="X43" s="8"/>
      <c r="Y43" s="8"/>
      <c r="Z43" s="8"/>
    </row>
    <row r="44" spans="1:26" x14ac:dyDescent="0.3">
      <c r="A44" s="8"/>
      <c r="B44" s="8"/>
      <c r="C44" s="8"/>
      <c r="D44" s="8"/>
      <c r="E44" s="8"/>
      <c r="F44" s="8"/>
      <c r="G44" s="8"/>
      <c r="H44" s="8"/>
      <c r="I44" s="8"/>
      <c r="J44" s="8"/>
      <c r="K44" s="8"/>
      <c r="L44" s="8"/>
      <c r="M44" s="8"/>
      <c r="N44" s="8"/>
      <c r="O44" s="8"/>
      <c r="P44" s="8"/>
      <c r="Q44" s="8"/>
      <c r="R44" s="8"/>
      <c r="S44" s="8"/>
      <c r="T44" s="8"/>
      <c r="U44" s="8"/>
      <c r="V44" s="8"/>
      <c r="W44" s="8"/>
      <c r="X44" s="8"/>
      <c r="Y44" s="8"/>
      <c r="Z44" s="8"/>
    </row>
    <row r="45" spans="1:26" x14ac:dyDescent="0.3">
      <c r="A45" s="8"/>
      <c r="B45" s="8"/>
      <c r="C45" s="8"/>
      <c r="D45" s="8"/>
      <c r="E45" s="8"/>
      <c r="F45" s="8"/>
      <c r="G45" s="8"/>
      <c r="H45" s="8"/>
      <c r="I45" s="8"/>
      <c r="J45" s="8"/>
      <c r="K45" s="8"/>
      <c r="L45" s="8"/>
      <c r="M45" s="8"/>
      <c r="N45" s="8"/>
      <c r="O45" s="8"/>
      <c r="P45" s="8"/>
      <c r="Q45" s="8"/>
      <c r="R45" s="8"/>
      <c r="S45" s="8"/>
      <c r="T45" s="8"/>
      <c r="U45" s="8"/>
      <c r="V45" s="8"/>
      <c r="W45" s="8"/>
      <c r="X45" s="8"/>
      <c r="Y45" s="8"/>
      <c r="Z45" s="8"/>
    </row>
    <row r="46" spans="1:26" x14ac:dyDescent="0.3">
      <c r="A46" s="8"/>
      <c r="B46" s="8"/>
      <c r="C46" s="8"/>
      <c r="D46" s="8"/>
      <c r="E46" s="8"/>
      <c r="F46" s="8"/>
      <c r="G46" s="8"/>
      <c r="H46" s="8"/>
      <c r="I46" s="8"/>
      <c r="J46" s="8"/>
      <c r="K46" s="8"/>
      <c r="L46" s="8"/>
      <c r="M46" s="8"/>
      <c r="N46" s="8"/>
      <c r="O46" s="8"/>
      <c r="P46" s="8"/>
      <c r="Q46" s="8"/>
      <c r="R46" s="8"/>
      <c r="S46" s="8"/>
      <c r="T46" s="8"/>
      <c r="U46" s="8"/>
      <c r="V46" s="8"/>
      <c r="W46" s="8"/>
      <c r="X46" s="8"/>
      <c r="Y46" s="8"/>
      <c r="Z46" s="8"/>
    </row>
    <row r="47" spans="1:26" x14ac:dyDescent="0.3">
      <c r="A47" s="8"/>
      <c r="B47" s="8"/>
      <c r="C47" s="8"/>
      <c r="D47" s="8"/>
      <c r="E47" s="8"/>
      <c r="F47" s="8"/>
      <c r="G47" s="8"/>
      <c r="H47" s="8"/>
      <c r="I47" s="8"/>
      <c r="J47" s="8"/>
      <c r="K47" s="8"/>
      <c r="L47" s="8"/>
      <c r="M47" s="8"/>
      <c r="N47" s="8"/>
      <c r="O47" s="8"/>
      <c r="P47" s="8"/>
      <c r="Q47" s="8"/>
      <c r="R47" s="8"/>
      <c r="S47" s="8"/>
      <c r="T47" s="8"/>
      <c r="U47" s="8"/>
      <c r="V47" s="8"/>
      <c r="W47" s="8"/>
      <c r="X47" s="8"/>
      <c r="Y47" s="8"/>
      <c r="Z47" s="8"/>
    </row>
    <row r="48" spans="1:26" x14ac:dyDescent="0.3">
      <c r="A48" s="8"/>
      <c r="B48" s="8"/>
      <c r="C48" s="8"/>
      <c r="D48" s="8"/>
      <c r="E48" s="8"/>
      <c r="F48" s="8"/>
      <c r="G48" s="8"/>
      <c r="H48" s="8"/>
      <c r="I48" s="8"/>
      <c r="J48" s="8"/>
      <c r="K48" s="8"/>
      <c r="L48" s="8"/>
      <c r="M48" s="8"/>
      <c r="N48" s="8"/>
      <c r="O48" s="8"/>
      <c r="P48" s="8"/>
      <c r="Q48" s="8"/>
      <c r="R48" s="8"/>
      <c r="S48" s="8"/>
      <c r="T48" s="8"/>
      <c r="U48" s="8"/>
      <c r="V48" s="8"/>
      <c r="W48" s="8"/>
      <c r="X48" s="8"/>
      <c r="Y48" s="8"/>
      <c r="Z48" s="8"/>
    </row>
    <row r="49" spans="1:26" x14ac:dyDescent="0.3">
      <c r="A49" s="8"/>
      <c r="B49" s="8"/>
      <c r="C49" s="8"/>
      <c r="D49" s="8"/>
      <c r="E49" s="8"/>
      <c r="F49" s="8"/>
      <c r="G49" s="8"/>
      <c r="H49" s="8"/>
      <c r="I49" s="8"/>
      <c r="J49" s="8"/>
      <c r="K49" s="8"/>
      <c r="L49" s="8"/>
      <c r="M49" s="8"/>
      <c r="N49" s="8"/>
      <c r="O49" s="8"/>
      <c r="P49" s="8"/>
      <c r="Q49" s="8"/>
      <c r="R49" s="8"/>
      <c r="S49" s="8"/>
      <c r="T49" s="8"/>
      <c r="U49" s="8"/>
      <c r="V49" s="8"/>
      <c r="W49" s="8"/>
      <c r="X49" s="8"/>
      <c r="Y49" s="8"/>
      <c r="Z49" s="8"/>
    </row>
    <row r="50" spans="1:26" x14ac:dyDescent="0.3">
      <c r="A50" s="8"/>
      <c r="B50" s="8"/>
      <c r="C50" s="8"/>
      <c r="D50" s="8"/>
      <c r="E50" s="8"/>
      <c r="F50" s="8"/>
      <c r="G50" s="8"/>
      <c r="H50" s="8"/>
      <c r="I50" s="8"/>
      <c r="J50" s="8"/>
      <c r="K50" s="8"/>
      <c r="L50" s="8"/>
      <c r="M50" s="8"/>
      <c r="N50" s="8"/>
      <c r="O50" s="8"/>
      <c r="P50" s="8"/>
      <c r="Q50" s="8"/>
      <c r="R50" s="8"/>
      <c r="S50" s="8"/>
      <c r="T50" s="8"/>
      <c r="U50" s="8"/>
      <c r="V50" s="8"/>
      <c r="W50" s="8"/>
      <c r="X50" s="8"/>
      <c r="Y50" s="8"/>
      <c r="Z50" s="8"/>
    </row>
    <row r="51" spans="1:26" x14ac:dyDescent="0.3">
      <c r="A51" s="8"/>
      <c r="B51" s="8"/>
      <c r="C51" s="8"/>
      <c r="D51" s="8"/>
      <c r="E51" s="8"/>
      <c r="F51" s="8"/>
      <c r="G51" s="8"/>
      <c r="H51" s="8"/>
      <c r="I51" s="8"/>
      <c r="J51" s="8"/>
      <c r="K51" s="8"/>
      <c r="L51" s="8"/>
      <c r="M51" s="8"/>
      <c r="N51" s="8"/>
      <c r="O51" s="8"/>
      <c r="P51" s="8"/>
      <c r="Q51" s="8"/>
      <c r="R51" s="8"/>
      <c r="S51" s="8"/>
      <c r="T51" s="8"/>
      <c r="U51" s="8"/>
      <c r="V51" s="8"/>
      <c r="W51" s="8"/>
      <c r="X51" s="8"/>
      <c r="Y51" s="8"/>
      <c r="Z51" s="8"/>
    </row>
    <row r="52" spans="1:26" x14ac:dyDescent="0.3">
      <c r="A52" s="8"/>
      <c r="B52" s="8"/>
      <c r="C52" s="8"/>
      <c r="D52" s="8"/>
      <c r="E52" s="8"/>
      <c r="F52" s="8"/>
      <c r="G52" s="8"/>
      <c r="H52" s="8"/>
      <c r="I52" s="8"/>
      <c r="J52" s="8"/>
      <c r="K52" s="8"/>
      <c r="L52" s="8"/>
      <c r="M52" s="8"/>
      <c r="N52" s="8"/>
      <c r="O52" s="8"/>
      <c r="P52" s="8"/>
      <c r="Q52" s="8"/>
      <c r="R52" s="8"/>
      <c r="S52" s="8"/>
      <c r="T52" s="8"/>
      <c r="U52" s="8"/>
      <c r="V52" s="8"/>
      <c r="W52" s="8"/>
      <c r="X52" s="8"/>
      <c r="Y52" s="8"/>
      <c r="Z52" s="8"/>
    </row>
    <row r="53" spans="1:26" x14ac:dyDescent="0.3">
      <c r="A53" s="8"/>
      <c r="B53" s="8"/>
      <c r="C53" s="8"/>
      <c r="D53" s="8"/>
      <c r="E53" s="8"/>
      <c r="F53" s="8"/>
      <c r="G53" s="8"/>
      <c r="H53" s="8"/>
      <c r="I53" s="8"/>
      <c r="J53" s="8"/>
      <c r="K53" s="8"/>
      <c r="L53" s="8"/>
      <c r="M53" s="8"/>
      <c r="N53" s="8"/>
      <c r="O53" s="8"/>
      <c r="P53" s="8"/>
      <c r="Q53" s="8"/>
      <c r="R53" s="8"/>
      <c r="S53" s="8"/>
      <c r="T53" s="8"/>
      <c r="U53" s="8"/>
      <c r="V53" s="8"/>
      <c r="W53" s="8"/>
      <c r="X53" s="8"/>
      <c r="Y53" s="8"/>
      <c r="Z53" s="8"/>
    </row>
    <row r="54" spans="1:26" x14ac:dyDescent="0.3">
      <c r="A54" s="8"/>
      <c r="B54" s="8"/>
      <c r="C54" s="8"/>
      <c r="D54" s="8"/>
      <c r="E54" s="8"/>
      <c r="F54" s="8"/>
      <c r="G54" s="8"/>
      <c r="H54" s="8"/>
      <c r="I54" s="8"/>
      <c r="J54" s="8"/>
      <c r="K54" s="8"/>
      <c r="L54" s="8"/>
      <c r="M54" s="8"/>
      <c r="N54" s="8"/>
      <c r="O54" s="8"/>
      <c r="P54" s="8"/>
      <c r="Q54" s="8"/>
      <c r="R54" s="8"/>
      <c r="S54" s="8"/>
      <c r="T54" s="8"/>
      <c r="U54" s="8"/>
      <c r="V54" s="8"/>
      <c r="W54" s="8"/>
      <c r="X54" s="8"/>
      <c r="Y54" s="8"/>
      <c r="Z54" s="8"/>
    </row>
    <row r="55" spans="1:26" x14ac:dyDescent="0.3">
      <c r="A55" s="8"/>
      <c r="B55" s="8"/>
      <c r="C55" s="8"/>
      <c r="D55" s="8"/>
      <c r="E55" s="8"/>
      <c r="F55" s="8"/>
      <c r="G55" s="8"/>
      <c r="H55" s="8"/>
      <c r="I55" s="8"/>
      <c r="J55" s="8"/>
      <c r="K55" s="8"/>
      <c r="L55" s="8"/>
      <c r="M55" s="8"/>
      <c r="N55" s="8"/>
      <c r="O55" s="8"/>
      <c r="P55" s="8"/>
      <c r="Q55" s="8"/>
      <c r="R55" s="8"/>
      <c r="S55" s="8"/>
      <c r="T55" s="8"/>
      <c r="U55" s="8"/>
      <c r="V55" s="8"/>
      <c r="W55" s="8"/>
      <c r="X55" s="8"/>
      <c r="Y55" s="8"/>
      <c r="Z55" s="8"/>
    </row>
    <row r="56" spans="1:26" x14ac:dyDescent="0.3">
      <c r="A56" s="8"/>
      <c r="B56" s="8"/>
      <c r="C56" s="8"/>
      <c r="D56" s="8"/>
      <c r="E56" s="8"/>
      <c r="F56" s="8"/>
      <c r="G56" s="8"/>
      <c r="H56" s="8"/>
      <c r="I56" s="8"/>
      <c r="J56" s="8"/>
      <c r="K56" s="8"/>
      <c r="L56" s="8"/>
      <c r="M56" s="8"/>
      <c r="N56" s="8"/>
      <c r="O56" s="8"/>
      <c r="P56" s="8"/>
      <c r="Q56" s="8"/>
      <c r="R56" s="8"/>
      <c r="S56" s="8"/>
      <c r="T56" s="8"/>
      <c r="U56" s="8"/>
      <c r="V56" s="8"/>
      <c r="W56" s="8"/>
      <c r="X56" s="8"/>
      <c r="Y56" s="8"/>
      <c r="Z56" s="8"/>
    </row>
    <row r="57" spans="1:26" x14ac:dyDescent="0.3">
      <c r="A57" s="8"/>
      <c r="B57" s="8"/>
      <c r="C57" s="8"/>
      <c r="D57" s="8"/>
      <c r="E57" s="8"/>
      <c r="F57" s="8"/>
      <c r="G57" s="8"/>
      <c r="H57" s="8"/>
      <c r="I57" s="8"/>
      <c r="J57" s="8"/>
      <c r="K57" s="8"/>
      <c r="L57" s="8"/>
      <c r="M57" s="8"/>
      <c r="N57" s="8"/>
      <c r="O57" s="8"/>
      <c r="P57" s="8"/>
      <c r="Q57" s="8"/>
      <c r="R57" s="8"/>
      <c r="S57" s="8"/>
      <c r="T57" s="8"/>
      <c r="U57" s="8"/>
      <c r="V57" s="8"/>
      <c r="W57" s="8"/>
      <c r="X57" s="8"/>
      <c r="Y57" s="8"/>
      <c r="Z57" s="8"/>
    </row>
    <row r="58" spans="1:26" x14ac:dyDescent="0.3">
      <c r="A58" s="8"/>
      <c r="B58" s="8"/>
      <c r="C58" s="8"/>
      <c r="D58" s="8"/>
      <c r="E58" s="8"/>
      <c r="F58" s="8"/>
      <c r="G58" s="8"/>
      <c r="H58" s="8"/>
      <c r="I58" s="8"/>
      <c r="J58" s="8"/>
      <c r="K58" s="8"/>
      <c r="L58" s="8"/>
      <c r="M58" s="8"/>
      <c r="N58" s="8"/>
      <c r="O58" s="8"/>
      <c r="P58" s="8"/>
      <c r="Q58" s="8"/>
      <c r="R58" s="8"/>
      <c r="S58" s="8"/>
      <c r="T58" s="8"/>
      <c r="U58" s="8"/>
      <c r="V58" s="8"/>
      <c r="W58" s="8"/>
      <c r="X58" s="8"/>
      <c r="Y58" s="8"/>
      <c r="Z58" s="8"/>
    </row>
    <row r="59" spans="1:26" x14ac:dyDescent="0.3">
      <c r="A59" s="8"/>
      <c r="B59" s="8"/>
      <c r="C59" s="8"/>
      <c r="D59" s="8"/>
      <c r="E59" s="8"/>
      <c r="F59" s="8"/>
      <c r="G59" s="8"/>
      <c r="H59" s="8"/>
      <c r="I59" s="8"/>
      <c r="J59" s="8"/>
      <c r="K59" s="8"/>
      <c r="L59" s="8"/>
      <c r="M59" s="8"/>
      <c r="N59" s="8"/>
      <c r="O59" s="8"/>
      <c r="P59" s="8"/>
      <c r="Q59" s="8"/>
      <c r="R59" s="8"/>
      <c r="S59" s="8"/>
      <c r="T59" s="8"/>
      <c r="U59" s="8"/>
      <c r="V59" s="8"/>
      <c r="W59" s="8"/>
      <c r="X59" s="8"/>
      <c r="Y59" s="8"/>
      <c r="Z59" s="8"/>
    </row>
    <row r="60" spans="1:26" x14ac:dyDescent="0.3">
      <c r="A60" s="8"/>
      <c r="B60" s="8"/>
      <c r="C60" s="8"/>
      <c r="D60" s="8"/>
      <c r="E60" s="8"/>
      <c r="F60" s="8"/>
      <c r="G60" s="8"/>
      <c r="H60" s="8"/>
      <c r="I60" s="8"/>
      <c r="J60" s="8"/>
      <c r="K60" s="8"/>
      <c r="L60" s="8"/>
      <c r="M60" s="8"/>
      <c r="N60" s="8"/>
      <c r="O60" s="8"/>
      <c r="P60" s="8"/>
      <c r="Q60" s="8"/>
      <c r="R60" s="8"/>
      <c r="S60" s="8"/>
      <c r="T60" s="8"/>
      <c r="U60" s="8"/>
      <c r="V60" s="8"/>
      <c r="W60" s="8"/>
      <c r="X60" s="8"/>
      <c r="Y60" s="8"/>
      <c r="Z60" s="8"/>
    </row>
    <row r="61" spans="1:26" x14ac:dyDescent="0.3">
      <c r="A61" s="8"/>
      <c r="B61" s="8"/>
      <c r="C61" s="8"/>
      <c r="D61" s="8"/>
      <c r="E61" s="8"/>
      <c r="F61" s="8"/>
      <c r="G61" s="8"/>
      <c r="H61" s="8"/>
      <c r="I61" s="8"/>
      <c r="J61" s="8"/>
      <c r="K61" s="8"/>
      <c r="L61" s="8"/>
      <c r="M61" s="8"/>
      <c r="N61" s="8"/>
      <c r="O61" s="8"/>
      <c r="P61" s="8"/>
      <c r="Q61" s="8"/>
      <c r="R61" s="8"/>
      <c r="S61" s="8"/>
      <c r="T61" s="8"/>
      <c r="U61" s="8"/>
      <c r="V61" s="8"/>
      <c r="W61" s="8"/>
      <c r="X61" s="8"/>
      <c r="Y61" s="8"/>
      <c r="Z61" s="8"/>
    </row>
    <row r="62" spans="1:26" x14ac:dyDescent="0.3">
      <c r="A62" s="8"/>
      <c r="B62" s="8"/>
      <c r="C62" s="8"/>
      <c r="D62" s="8"/>
      <c r="E62" s="8"/>
      <c r="F62" s="8"/>
      <c r="G62" s="8"/>
      <c r="H62" s="8"/>
      <c r="I62" s="8"/>
      <c r="J62" s="8"/>
      <c r="K62" s="8"/>
      <c r="L62" s="8"/>
      <c r="M62" s="8"/>
      <c r="N62" s="8"/>
      <c r="O62" s="8"/>
      <c r="P62" s="8"/>
      <c r="Q62" s="8"/>
      <c r="R62" s="8"/>
      <c r="S62" s="8"/>
      <c r="T62" s="8"/>
      <c r="U62" s="8"/>
      <c r="V62" s="8"/>
      <c r="W62" s="8"/>
      <c r="X62" s="8"/>
      <c r="Y62" s="8"/>
      <c r="Z62" s="8"/>
    </row>
    <row r="63" spans="1:26" x14ac:dyDescent="0.3">
      <c r="A63" s="8"/>
      <c r="B63" s="8"/>
      <c r="C63" s="8"/>
      <c r="D63" s="8"/>
      <c r="E63" s="8"/>
      <c r="F63" s="8"/>
      <c r="G63" s="8"/>
      <c r="H63" s="8"/>
      <c r="I63" s="8"/>
      <c r="J63" s="8"/>
      <c r="K63" s="8"/>
      <c r="L63" s="8"/>
      <c r="M63" s="8"/>
      <c r="N63" s="8"/>
      <c r="O63" s="8"/>
      <c r="P63" s="8"/>
      <c r="Q63" s="8"/>
      <c r="R63" s="8"/>
      <c r="S63" s="8"/>
      <c r="T63" s="8"/>
      <c r="U63" s="8"/>
      <c r="V63" s="8"/>
      <c r="W63" s="8"/>
      <c r="X63" s="8"/>
      <c r="Y63" s="8"/>
      <c r="Z63" s="8"/>
    </row>
    <row r="64" spans="1:26" x14ac:dyDescent="0.3">
      <c r="A64" s="8"/>
      <c r="B64" s="8"/>
      <c r="C64" s="8"/>
      <c r="D64" s="8"/>
      <c r="E64" s="8"/>
      <c r="F64" s="8"/>
      <c r="G64" s="8"/>
      <c r="H64" s="8"/>
      <c r="I64" s="8"/>
      <c r="J64" s="8"/>
      <c r="K64" s="8"/>
      <c r="L64" s="8"/>
      <c r="M64" s="8"/>
      <c r="N64" s="8"/>
      <c r="O64" s="8"/>
      <c r="P64" s="8"/>
      <c r="Q64" s="8"/>
      <c r="R64" s="8"/>
      <c r="S64" s="8"/>
      <c r="T64" s="8"/>
      <c r="U64" s="8"/>
      <c r="V64" s="8"/>
      <c r="W64" s="8"/>
      <c r="X64" s="8"/>
      <c r="Y64" s="8"/>
      <c r="Z64" s="8"/>
    </row>
    <row r="65" spans="1:26" x14ac:dyDescent="0.3">
      <c r="A65" s="8"/>
      <c r="B65" s="8"/>
      <c r="C65" s="8"/>
      <c r="D65" s="8"/>
      <c r="E65" s="8"/>
      <c r="F65" s="8"/>
      <c r="G65" s="8"/>
      <c r="H65" s="8"/>
      <c r="I65" s="8"/>
      <c r="J65" s="8"/>
      <c r="K65" s="8"/>
      <c r="L65" s="8"/>
      <c r="M65" s="8"/>
      <c r="N65" s="8"/>
      <c r="O65" s="8"/>
      <c r="P65" s="8"/>
      <c r="Q65" s="8"/>
      <c r="R65" s="8"/>
      <c r="S65" s="8"/>
      <c r="T65" s="8"/>
      <c r="U65" s="8"/>
      <c r="V65" s="8"/>
      <c r="W65" s="8"/>
      <c r="X65" s="8"/>
      <c r="Y65" s="8"/>
      <c r="Z65" s="8"/>
    </row>
    <row r="66" spans="1:26" x14ac:dyDescent="0.3">
      <c r="A66" s="8"/>
      <c r="B66" s="8"/>
      <c r="C66" s="8"/>
      <c r="D66" s="8"/>
      <c r="E66" s="8"/>
      <c r="F66" s="8"/>
      <c r="G66" s="8"/>
      <c r="H66" s="8"/>
      <c r="I66" s="8"/>
      <c r="J66" s="8"/>
      <c r="K66" s="8"/>
      <c r="L66" s="8"/>
      <c r="M66" s="8"/>
      <c r="N66" s="8"/>
      <c r="O66" s="8"/>
      <c r="P66" s="8"/>
      <c r="Q66" s="8"/>
      <c r="R66" s="8"/>
      <c r="S66" s="8"/>
      <c r="T66" s="8"/>
      <c r="U66" s="8"/>
      <c r="V66" s="8"/>
      <c r="W66" s="8"/>
      <c r="X66" s="8"/>
      <c r="Y66" s="8"/>
      <c r="Z66" s="8"/>
    </row>
    <row r="67" spans="1:26" x14ac:dyDescent="0.3">
      <c r="A67" s="8"/>
      <c r="B67" s="8"/>
      <c r="C67" s="8"/>
      <c r="D67" s="8"/>
      <c r="E67" s="8"/>
      <c r="F67" s="8"/>
      <c r="G67" s="8"/>
      <c r="H67" s="8"/>
      <c r="I67" s="8"/>
      <c r="J67" s="8"/>
      <c r="K67" s="8"/>
      <c r="L67" s="8"/>
      <c r="M67" s="8"/>
      <c r="N67" s="8"/>
      <c r="O67" s="8"/>
      <c r="P67" s="8"/>
      <c r="Q67" s="8"/>
      <c r="R67" s="8"/>
      <c r="S67" s="8"/>
      <c r="T67" s="8"/>
      <c r="U67" s="8"/>
      <c r="V67" s="8"/>
      <c r="W67" s="8"/>
      <c r="X67" s="8"/>
      <c r="Y67" s="8"/>
      <c r="Z67" s="8"/>
    </row>
    <row r="68" spans="1:26" x14ac:dyDescent="0.3">
      <c r="A68" s="8"/>
      <c r="B68" s="8"/>
      <c r="C68" s="8"/>
      <c r="D68" s="8"/>
      <c r="E68" s="8"/>
      <c r="F68" s="8"/>
      <c r="G68" s="8"/>
      <c r="H68" s="8"/>
      <c r="I68" s="8"/>
      <c r="J68" s="8"/>
      <c r="K68" s="8"/>
      <c r="L68" s="8"/>
      <c r="M68" s="8"/>
      <c r="N68" s="8"/>
      <c r="O68" s="8"/>
      <c r="P68" s="8"/>
      <c r="Q68" s="8"/>
      <c r="R68" s="8"/>
      <c r="S68" s="8"/>
      <c r="T68" s="8"/>
      <c r="U68" s="8"/>
      <c r="V68" s="8"/>
      <c r="W68" s="8"/>
      <c r="X68" s="8"/>
      <c r="Y68" s="8"/>
      <c r="Z68" s="8"/>
    </row>
    <row r="69" spans="1:26" x14ac:dyDescent="0.3">
      <c r="A69" s="8"/>
      <c r="B69" s="8"/>
      <c r="C69" s="8"/>
      <c r="D69" s="8"/>
      <c r="E69" s="8"/>
      <c r="F69" s="8"/>
      <c r="G69" s="8"/>
      <c r="H69" s="8"/>
      <c r="I69" s="8"/>
      <c r="J69" s="8"/>
      <c r="K69" s="8"/>
      <c r="L69" s="8"/>
      <c r="M69" s="8"/>
      <c r="N69" s="8"/>
      <c r="O69" s="8"/>
      <c r="P69" s="8"/>
      <c r="Q69" s="8"/>
      <c r="R69" s="8"/>
      <c r="S69" s="8"/>
      <c r="T69" s="8"/>
      <c r="U69" s="8"/>
      <c r="V69" s="8"/>
      <c r="W69" s="8"/>
      <c r="X69" s="8"/>
      <c r="Y69" s="8"/>
      <c r="Z69" s="8"/>
    </row>
    <row r="70" spans="1:26" x14ac:dyDescent="0.3">
      <c r="A70" s="8"/>
      <c r="B70" s="8"/>
      <c r="C70" s="8"/>
      <c r="D70" s="8"/>
      <c r="E70" s="8"/>
      <c r="F70" s="8"/>
      <c r="G70" s="8"/>
      <c r="H70" s="8"/>
      <c r="I70" s="8"/>
      <c r="J70" s="8"/>
      <c r="K70" s="8"/>
      <c r="L70" s="8"/>
      <c r="M70" s="8"/>
      <c r="N70" s="8"/>
      <c r="O70" s="8"/>
      <c r="P70" s="8"/>
      <c r="Q70" s="8"/>
      <c r="R70" s="8"/>
      <c r="S70" s="8"/>
      <c r="T70" s="8"/>
      <c r="U70" s="8"/>
      <c r="V70" s="8"/>
      <c r="W70" s="8"/>
      <c r="X70" s="8"/>
      <c r="Y70" s="8"/>
      <c r="Z70" s="8"/>
    </row>
    <row r="71" spans="1:26" x14ac:dyDescent="0.3">
      <c r="A71" s="8"/>
      <c r="B71" s="8"/>
      <c r="C71" s="8"/>
      <c r="D71" s="8"/>
      <c r="E71" s="8"/>
      <c r="F71" s="8"/>
      <c r="G71" s="8"/>
      <c r="H71" s="8"/>
      <c r="I71" s="8"/>
      <c r="J71" s="8"/>
      <c r="K71" s="8"/>
      <c r="L71" s="8"/>
      <c r="M71" s="8"/>
      <c r="N71" s="8"/>
      <c r="O71" s="8"/>
      <c r="P71" s="8"/>
      <c r="Q71" s="8"/>
      <c r="R71" s="8"/>
      <c r="S71" s="8"/>
      <c r="T71" s="8"/>
      <c r="U71" s="8"/>
      <c r="V71" s="8"/>
      <c r="W71" s="8"/>
      <c r="X71" s="8"/>
      <c r="Y71" s="8"/>
      <c r="Z71" s="8"/>
    </row>
    <row r="72" spans="1:26" x14ac:dyDescent="0.3">
      <c r="A72" s="8"/>
      <c r="B72" s="8"/>
      <c r="C72" s="8"/>
      <c r="D72" s="8"/>
      <c r="E72" s="8"/>
      <c r="F72" s="8"/>
      <c r="G72" s="8"/>
      <c r="H72" s="8"/>
      <c r="I72" s="8"/>
      <c r="J72" s="8"/>
      <c r="K72" s="8"/>
      <c r="L72" s="8"/>
      <c r="M72" s="8"/>
      <c r="N72" s="8"/>
      <c r="O72" s="8"/>
      <c r="P72" s="8"/>
      <c r="Q72" s="8"/>
      <c r="R72" s="8"/>
      <c r="S72" s="8"/>
      <c r="T72" s="8"/>
      <c r="U72" s="8"/>
      <c r="V72" s="8"/>
      <c r="W72" s="8"/>
      <c r="X72" s="8"/>
      <c r="Y72" s="8"/>
      <c r="Z72" s="8"/>
    </row>
    <row r="73" spans="1:26" x14ac:dyDescent="0.3">
      <c r="A73" s="8"/>
      <c r="B73" s="8"/>
      <c r="C73" s="8"/>
      <c r="D73" s="8"/>
      <c r="E73" s="8"/>
      <c r="F73" s="8"/>
      <c r="G73" s="8"/>
      <c r="H73" s="8"/>
      <c r="I73" s="8"/>
      <c r="J73" s="8"/>
      <c r="K73" s="8"/>
      <c r="L73" s="8"/>
      <c r="M73" s="8"/>
      <c r="N73" s="8"/>
      <c r="O73" s="8"/>
      <c r="P73" s="8"/>
      <c r="Q73" s="8"/>
      <c r="R73" s="8"/>
      <c r="S73" s="8"/>
      <c r="T73" s="8"/>
      <c r="U73" s="8"/>
      <c r="V73" s="8"/>
      <c r="W73" s="8"/>
      <c r="X73" s="8"/>
      <c r="Y73" s="8"/>
      <c r="Z73" s="8"/>
    </row>
    <row r="74" spans="1:26" x14ac:dyDescent="0.3">
      <c r="A74" s="8"/>
      <c r="B74" s="8"/>
      <c r="C74" s="8"/>
      <c r="D74" s="8"/>
      <c r="E74" s="8"/>
      <c r="F74" s="8"/>
      <c r="G74" s="8"/>
      <c r="H74" s="8"/>
      <c r="I74" s="8"/>
      <c r="J74" s="8"/>
      <c r="K74" s="8"/>
      <c r="L74" s="8"/>
      <c r="M74" s="8"/>
      <c r="N74" s="8"/>
      <c r="O74" s="8"/>
      <c r="P74" s="8"/>
      <c r="Q74" s="8"/>
      <c r="R74" s="8"/>
      <c r="S74" s="8"/>
      <c r="T74" s="8"/>
      <c r="U74" s="8"/>
      <c r="V74" s="8"/>
      <c r="W74" s="8"/>
      <c r="X74" s="8"/>
      <c r="Y74" s="8"/>
      <c r="Z74" s="8"/>
    </row>
    <row r="75" spans="1:26" x14ac:dyDescent="0.3">
      <c r="A75" s="8"/>
      <c r="B75" s="8"/>
      <c r="C75" s="8"/>
      <c r="D75" s="8"/>
      <c r="E75" s="8"/>
      <c r="F75" s="8"/>
      <c r="G75" s="8"/>
      <c r="H75" s="8"/>
      <c r="I75" s="8"/>
      <c r="J75" s="8"/>
      <c r="K75" s="8"/>
      <c r="L75" s="8"/>
      <c r="M75" s="8"/>
      <c r="N75" s="8"/>
      <c r="O75" s="8"/>
      <c r="P75" s="8"/>
      <c r="Q75" s="8"/>
      <c r="R75" s="8"/>
      <c r="S75" s="8"/>
      <c r="T75" s="8"/>
      <c r="U75" s="8"/>
      <c r="V75" s="8"/>
      <c r="W75" s="8"/>
      <c r="X75" s="8"/>
      <c r="Y75" s="8"/>
      <c r="Z75" s="8"/>
    </row>
    <row r="76" spans="1:26" x14ac:dyDescent="0.3">
      <c r="A76" s="8"/>
      <c r="B76" s="8"/>
      <c r="C76" s="8"/>
      <c r="D76" s="8"/>
      <c r="E76" s="8"/>
      <c r="F76" s="8"/>
      <c r="G76" s="8"/>
      <c r="H76" s="8"/>
      <c r="I76" s="8"/>
      <c r="J76" s="8"/>
      <c r="K76" s="8"/>
      <c r="L76" s="8"/>
      <c r="M76" s="8"/>
      <c r="N76" s="8"/>
      <c r="O76" s="8"/>
      <c r="P76" s="8"/>
      <c r="Q76" s="8"/>
      <c r="R76" s="8"/>
      <c r="S76" s="8"/>
      <c r="T76" s="8"/>
      <c r="U76" s="8"/>
      <c r="V76" s="8"/>
      <c r="W76" s="8"/>
      <c r="X76" s="8"/>
      <c r="Y76" s="8"/>
      <c r="Z76" s="8"/>
    </row>
    <row r="77" spans="1:26" x14ac:dyDescent="0.3">
      <c r="A77" s="8"/>
      <c r="B77" s="8"/>
      <c r="C77" s="8"/>
      <c r="D77" s="8"/>
      <c r="E77" s="8"/>
      <c r="F77" s="8"/>
      <c r="G77" s="8"/>
      <c r="H77" s="8"/>
      <c r="I77" s="8"/>
      <c r="J77" s="8"/>
      <c r="K77" s="8"/>
      <c r="L77" s="8"/>
      <c r="M77" s="8"/>
      <c r="N77" s="8"/>
      <c r="O77" s="8"/>
      <c r="P77" s="8"/>
      <c r="Q77" s="8"/>
      <c r="R77" s="8"/>
      <c r="S77" s="8"/>
      <c r="T77" s="8"/>
      <c r="U77" s="8"/>
      <c r="V77" s="8"/>
      <c r="W77" s="8"/>
      <c r="X77" s="8"/>
      <c r="Y77" s="8"/>
      <c r="Z77" s="8"/>
    </row>
    <row r="78" spans="1:26" x14ac:dyDescent="0.3">
      <c r="A78" s="8"/>
      <c r="B78" s="8"/>
      <c r="C78" s="8"/>
      <c r="D78" s="8"/>
      <c r="E78" s="8"/>
      <c r="F78" s="8"/>
      <c r="G78" s="8"/>
      <c r="H78" s="8"/>
      <c r="I78" s="8"/>
      <c r="J78" s="8"/>
      <c r="K78" s="8"/>
      <c r="L78" s="8"/>
      <c r="M78" s="8"/>
      <c r="N78" s="8"/>
      <c r="O78" s="8"/>
      <c r="P78" s="8"/>
      <c r="Q78" s="8"/>
      <c r="R78" s="8"/>
      <c r="S78" s="8"/>
      <c r="T78" s="8"/>
      <c r="U78" s="8"/>
      <c r="V78" s="8"/>
      <c r="W78" s="8"/>
      <c r="X78" s="8"/>
      <c r="Y78" s="8"/>
      <c r="Z78" s="8"/>
    </row>
    <row r="79" spans="1:26" x14ac:dyDescent="0.3">
      <c r="A79" s="8"/>
      <c r="B79" s="8"/>
      <c r="C79" s="8"/>
      <c r="D79" s="8"/>
      <c r="E79" s="8"/>
      <c r="F79" s="8"/>
      <c r="G79" s="8"/>
      <c r="H79" s="8"/>
      <c r="I79" s="8"/>
      <c r="J79" s="8"/>
      <c r="K79" s="8"/>
      <c r="L79" s="8"/>
      <c r="M79" s="8"/>
      <c r="N79" s="8"/>
      <c r="O79" s="8"/>
      <c r="P79" s="8"/>
      <c r="Q79" s="8"/>
      <c r="R79" s="8"/>
      <c r="S79" s="8"/>
      <c r="T79" s="8"/>
      <c r="U79" s="8"/>
      <c r="V79" s="8"/>
      <c r="W79" s="8"/>
      <c r="X79" s="8"/>
      <c r="Y79" s="8"/>
      <c r="Z79" s="8"/>
    </row>
    <row r="80" spans="1:26" x14ac:dyDescent="0.3">
      <c r="A80" s="8"/>
      <c r="B80" s="8"/>
      <c r="C80" s="8"/>
      <c r="D80" s="8"/>
      <c r="E80" s="8"/>
      <c r="F80" s="8"/>
      <c r="G80" s="8"/>
      <c r="H80" s="8"/>
      <c r="I80" s="8"/>
      <c r="J80" s="8"/>
      <c r="K80" s="8"/>
      <c r="L80" s="8"/>
      <c r="M80" s="8"/>
      <c r="N80" s="8"/>
      <c r="O80" s="8"/>
      <c r="P80" s="8"/>
      <c r="Q80" s="8"/>
      <c r="R80" s="8"/>
      <c r="S80" s="8"/>
      <c r="T80" s="8"/>
      <c r="U80" s="8"/>
      <c r="V80" s="8"/>
      <c r="W80" s="8"/>
      <c r="X80" s="8"/>
      <c r="Y80" s="8"/>
      <c r="Z80" s="8"/>
    </row>
    <row r="81" spans="1:26" x14ac:dyDescent="0.3">
      <c r="A81" s="8"/>
      <c r="B81" s="8"/>
      <c r="C81" s="8"/>
      <c r="D81" s="8"/>
      <c r="E81" s="8"/>
      <c r="F81" s="8"/>
      <c r="G81" s="8"/>
      <c r="H81" s="8"/>
      <c r="I81" s="8"/>
      <c r="J81" s="8"/>
      <c r="K81" s="8"/>
      <c r="L81" s="8"/>
      <c r="M81" s="8"/>
      <c r="N81" s="8"/>
      <c r="O81" s="8"/>
      <c r="P81" s="8"/>
      <c r="Q81" s="8"/>
      <c r="R81" s="8"/>
      <c r="S81" s="8"/>
      <c r="T81" s="8"/>
      <c r="U81" s="8"/>
      <c r="V81" s="8"/>
      <c r="W81" s="8"/>
      <c r="X81" s="8"/>
      <c r="Y81" s="8"/>
      <c r="Z81" s="8"/>
    </row>
    <row r="82" spans="1:26" x14ac:dyDescent="0.3">
      <c r="A82" s="8"/>
      <c r="B82" s="8"/>
      <c r="C82" s="8"/>
      <c r="D82" s="8"/>
      <c r="E82" s="8"/>
      <c r="F82" s="8"/>
      <c r="G82" s="8"/>
      <c r="H82" s="8"/>
      <c r="I82" s="8"/>
      <c r="J82" s="8"/>
      <c r="K82" s="8"/>
      <c r="L82" s="8"/>
      <c r="M82" s="8"/>
      <c r="N82" s="8"/>
      <c r="O82" s="8"/>
      <c r="P82" s="8"/>
      <c r="Q82" s="8"/>
      <c r="R82" s="8"/>
      <c r="S82" s="8"/>
      <c r="T82" s="8"/>
      <c r="U82" s="8"/>
      <c r="V82" s="8"/>
      <c r="W82" s="8"/>
      <c r="X82" s="8"/>
      <c r="Y82" s="8"/>
      <c r="Z82" s="8"/>
    </row>
    <row r="83" spans="1:26" x14ac:dyDescent="0.3">
      <c r="A83" s="8"/>
      <c r="B83" s="8"/>
      <c r="C83" s="8"/>
      <c r="D83" s="8"/>
      <c r="E83" s="8"/>
      <c r="F83" s="8"/>
      <c r="G83" s="8"/>
      <c r="H83" s="8"/>
      <c r="I83" s="8"/>
      <c r="J83" s="8"/>
      <c r="K83" s="8"/>
      <c r="L83" s="8"/>
      <c r="M83" s="8"/>
      <c r="N83" s="8"/>
      <c r="O83" s="8"/>
      <c r="P83" s="8"/>
      <c r="Q83" s="8"/>
      <c r="R83" s="8"/>
      <c r="S83" s="8"/>
      <c r="T83" s="8"/>
      <c r="U83" s="8"/>
      <c r="V83" s="8"/>
      <c r="W83" s="8"/>
      <c r="X83" s="8"/>
      <c r="Y83" s="8"/>
      <c r="Z83" s="8"/>
    </row>
    <row r="84" spans="1:26" x14ac:dyDescent="0.3">
      <c r="A84" s="8"/>
      <c r="B84" s="8"/>
      <c r="C84" s="8"/>
      <c r="D84" s="8"/>
      <c r="E84" s="8"/>
      <c r="F84" s="8"/>
      <c r="G84" s="8"/>
      <c r="H84" s="8"/>
      <c r="I84" s="8"/>
      <c r="J84" s="8"/>
      <c r="K84" s="8"/>
      <c r="L84" s="8"/>
      <c r="M84" s="8"/>
      <c r="N84" s="8"/>
      <c r="O84" s="8"/>
      <c r="P84" s="8"/>
      <c r="Q84" s="8"/>
      <c r="R84" s="8"/>
      <c r="S84" s="8"/>
      <c r="T84" s="8"/>
      <c r="U84" s="8"/>
      <c r="V84" s="8"/>
      <c r="W84" s="8"/>
      <c r="X84" s="8"/>
      <c r="Y84" s="8"/>
      <c r="Z84" s="8"/>
    </row>
    <row r="85" spans="1:26" x14ac:dyDescent="0.3">
      <c r="A85" s="8"/>
      <c r="B85" s="8"/>
      <c r="C85" s="8"/>
      <c r="D85" s="8"/>
      <c r="E85" s="8"/>
      <c r="F85" s="8"/>
      <c r="G85" s="8"/>
      <c r="H85" s="8"/>
      <c r="I85" s="8"/>
      <c r="J85" s="8"/>
      <c r="K85" s="8"/>
      <c r="L85" s="8"/>
      <c r="M85" s="8"/>
      <c r="N85" s="8"/>
      <c r="O85" s="8"/>
      <c r="P85" s="8"/>
      <c r="Q85" s="8"/>
      <c r="R85" s="8"/>
      <c r="S85" s="8"/>
      <c r="T85" s="8"/>
      <c r="U85" s="8"/>
      <c r="V85" s="8"/>
      <c r="W85" s="8"/>
      <c r="X85" s="8"/>
      <c r="Y85" s="8"/>
      <c r="Z85" s="8"/>
    </row>
    <row r="86" spans="1:26" x14ac:dyDescent="0.3">
      <c r="A86" s="8"/>
      <c r="B86" s="8"/>
      <c r="C86" s="8"/>
      <c r="D86" s="8"/>
      <c r="E86" s="8"/>
      <c r="F86" s="8"/>
      <c r="G86" s="8"/>
      <c r="H86" s="8"/>
      <c r="I86" s="8"/>
      <c r="J86" s="8"/>
      <c r="K86" s="8"/>
      <c r="L86" s="8"/>
      <c r="M86" s="8"/>
      <c r="N86" s="8"/>
      <c r="O86" s="8"/>
      <c r="P86" s="8"/>
      <c r="Q86" s="8"/>
      <c r="R86" s="8"/>
      <c r="S86" s="8"/>
      <c r="T86" s="8"/>
      <c r="U86" s="8"/>
      <c r="V86" s="8"/>
      <c r="W86" s="8"/>
      <c r="X86" s="8"/>
      <c r="Y86" s="8"/>
      <c r="Z86" s="8"/>
    </row>
    <row r="87" spans="1:26" x14ac:dyDescent="0.3">
      <c r="A87" s="8"/>
      <c r="B87" s="8"/>
      <c r="C87" s="8"/>
      <c r="D87" s="8"/>
      <c r="E87" s="8"/>
      <c r="F87" s="8"/>
      <c r="G87" s="8"/>
      <c r="H87" s="8"/>
      <c r="I87" s="8"/>
      <c r="J87" s="8"/>
      <c r="K87" s="8"/>
      <c r="L87" s="8"/>
      <c r="M87" s="8"/>
      <c r="N87" s="8"/>
      <c r="O87" s="8"/>
      <c r="P87" s="8"/>
      <c r="Q87" s="8"/>
      <c r="R87" s="8"/>
      <c r="S87" s="8"/>
      <c r="T87" s="8"/>
      <c r="U87" s="8"/>
      <c r="V87" s="8"/>
      <c r="W87" s="8"/>
      <c r="X87" s="8"/>
      <c r="Y87" s="8"/>
      <c r="Z87" s="8"/>
    </row>
    <row r="88" spans="1:26" x14ac:dyDescent="0.3">
      <c r="A88" s="8"/>
      <c r="B88" s="8"/>
      <c r="C88" s="8"/>
      <c r="D88" s="8"/>
      <c r="E88" s="8"/>
      <c r="F88" s="8"/>
      <c r="G88" s="8"/>
      <c r="H88" s="8"/>
      <c r="I88" s="8"/>
      <c r="J88" s="8"/>
      <c r="K88" s="8"/>
      <c r="L88" s="8"/>
      <c r="M88" s="8"/>
      <c r="N88" s="8"/>
      <c r="O88" s="8"/>
      <c r="P88" s="8"/>
      <c r="Q88" s="8"/>
      <c r="R88" s="8"/>
      <c r="S88" s="8"/>
      <c r="T88" s="8"/>
      <c r="U88" s="8"/>
      <c r="V88" s="8"/>
      <c r="W88" s="8"/>
      <c r="X88" s="8"/>
      <c r="Y88" s="8"/>
      <c r="Z88" s="8"/>
    </row>
    <row r="89" spans="1:26" x14ac:dyDescent="0.3">
      <c r="A89" s="8"/>
      <c r="B89" s="8"/>
      <c r="C89" s="8"/>
      <c r="D89" s="8"/>
      <c r="E89" s="8"/>
      <c r="F89" s="8"/>
      <c r="G89" s="8"/>
      <c r="H89" s="8"/>
      <c r="I89" s="8"/>
      <c r="J89" s="8"/>
      <c r="K89" s="8"/>
      <c r="L89" s="8"/>
      <c r="M89" s="8"/>
      <c r="N89" s="8"/>
      <c r="O89" s="8"/>
      <c r="P89" s="8"/>
      <c r="Q89" s="8"/>
      <c r="R89" s="8"/>
      <c r="S89" s="8"/>
      <c r="T89" s="8"/>
      <c r="U89" s="8"/>
      <c r="V89" s="8"/>
      <c r="W89" s="8"/>
      <c r="X89" s="8"/>
      <c r="Y89" s="8"/>
      <c r="Z89" s="8"/>
    </row>
    <row r="90" spans="1:26" x14ac:dyDescent="0.3">
      <c r="A90" s="8"/>
      <c r="B90" s="8"/>
      <c r="C90" s="8"/>
      <c r="D90" s="8"/>
      <c r="E90" s="8"/>
      <c r="F90" s="8"/>
      <c r="G90" s="8"/>
      <c r="H90" s="8"/>
      <c r="I90" s="8"/>
      <c r="J90" s="8"/>
      <c r="K90" s="8"/>
      <c r="L90" s="8"/>
      <c r="M90" s="8"/>
      <c r="N90" s="8"/>
      <c r="O90" s="8"/>
      <c r="P90" s="8"/>
      <c r="Q90" s="8"/>
      <c r="R90" s="8"/>
      <c r="S90" s="8"/>
      <c r="T90" s="8"/>
      <c r="U90" s="8"/>
      <c r="V90" s="8"/>
      <c r="W90" s="8"/>
      <c r="X90" s="8"/>
      <c r="Y90" s="8"/>
      <c r="Z90" s="8"/>
    </row>
    <row r="91" spans="1:26" x14ac:dyDescent="0.3">
      <c r="A91" s="8"/>
      <c r="B91" s="8"/>
      <c r="C91" s="8"/>
      <c r="D91" s="8"/>
      <c r="E91" s="8"/>
      <c r="F91" s="8"/>
      <c r="G91" s="8"/>
      <c r="H91" s="8"/>
      <c r="I91" s="8"/>
      <c r="J91" s="8"/>
      <c r="K91" s="8"/>
      <c r="L91" s="8"/>
      <c r="M91" s="8"/>
      <c r="N91" s="8"/>
      <c r="O91" s="8"/>
      <c r="P91" s="8"/>
      <c r="Q91" s="8"/>
      <c r="R91" s="8"/>
      <c r="S91" s="8"/>
      <c r="T91" s="8"/>
      <c r="U91" s="8"/>
      <c r="V91" s="8"/>
      <c r="W91" s="8"/>
      <c r="X91" s="8"/>
      <c r="Y91" s="8"/>
      <c r="Z91" s="8"/>
    </row>
    <row r="92" spans="1:26" x14ac:dyDescent="0.3">
      <c r="A92" s="8"/>
      <c r="B92" s="8"/>
      <c r="C92" s="8"/>
      <c r="D92" s="8"/>
      <c r="E92" s="8"/>
      <c r="F92" s="8"/>
      <c r="G92" s="8"/>
      <c r="H92" s="8"/>
      <c r="I92" s="8"/>
      <c r="J92" s="8"/>
      <c r="K92" s="8"/>
      <c r="L92" s="8"/>
      <c r="M92" s="8"/>
      <c r="N92" s="8"/>
      <c r="O92" s="8"/>
      <c r="P92" s="8"/>
      <c r="Q92" s="8"/>
      <c r="R92" s="8"/>
      <c r="S92" s="8"/>
      <c r="T92" s="8"/>
      <c r="U92" s="8"/>
      <c r="V92" s="8"/>
      <c r="W92" s="8"/>
      <c r="X92" s="8"/>
      <c r="Y92" s="8"/>
      <c r="Z92" s="8"/>
    </row>
    <row r="93" spans="1:26" x14ac:dyDescent="0.3">
      <c r="A93" s="8"/>
      <c r="B93" s="8"/>
      <c r="C93" s="8"/>
      <c r="D93" s="8"/>
      <c r="E93" s="8"/>
      <c r="F93" s="8"/>
      <c r="G93" s="8"/>
      <c r="H93" s="8"/>
      <c r="I93" s="8"/>
      <c r="J93" s="8"/>
      <c r="K93" s="8"/>
      <c r="L93" s="8"/>
      <c r="M93" s="8"/>
      <c r="N93" s="8"/>
      <c r="O93" s="8"/>
      <c r="P93" s="8"/>
      <c r="Q93" s="8"/>
      <c r="R93" s="8"/>
      <c r="S93" s="8"/>
      <c r="T93" s="8"/>
      <c r="U93" s="8"/>
      <c r="V93" s="8"/>
      <c r="W93" s="8"/>
      <c r="X93" s="8"/>
      <c r="Y93" s="8"/>
      <c r="Z93" s="8"/>
    </row>
    <row r="94" spans="1:26" x14ac:dyDescent="0.3">
      <c r="A94" s="8"/>
      <c r="B94" s="8"/>
      <c r="C94" s="8"/>
      <c r="D94" s="8"/>
      <c r="E94" s="8"/>
      <c r="F94" s="8"/>
      <c r="G94" s="8"/>
      <c r="H94" s="8"/>
      <c r="I94" s="8"/>
      <c r="J94" s="8"/>
      <c r="K94" s="8"/>
      <c r="L94" s="8"/>
      <c r="M94" s="8"/>
      <c r="N94" s="8"/>
      <c r="O94" s="8"/>
      <c r="P94" s="8"/>
      <c r="Q94" s="8"/>
      <c r="R94" s="8"/>
      <c r="S94" s="8"/>
      <c r="T94" s="8"/>
      <c r="U94" s="8"/>
      <c r="V94" s="8"/>
      <c r="W94" s="8"/>
      <c r="X94" s="8"/>
      <c r="Y94" s="8"/>
      <c r="Z94" s="8"/>
    </row>
    <row r="95" spans="1:26" x14ac:dyDescent="0.3">
      <c r="A95" s="8"/>
      <c r="B95" s="8"/>
      <c r="C95" s="8"/>
      <c r="D95" s="8"/>
      <c r="E95" s="8"/>
      <c r="F95" s="8"/>
      <c r="G95" s="8"/>
      <c r="H95" s="8"/>
      <c r="I95" s="8"/>
      <c r="J95" s="8"/>
      <c r="K95" s="8"/>
      <c r="L95" s="8"/>
      <c r="M95" s="8"/>
      <c r="N95" s="8"/>
      <c r="O95" s="8"/>
      <c r="P95" s="8"/>
      <c r="Q95" s="8"/>
      <c r="R95" s="8"/>
      <c r="S95" s="8"/>
      <c r="T95" s="8"/>
      <c r="U95" s="8"/>
      <c r="V95" s="8"/>
      <c r="W95" s="8"/>
      <c r="X95" s="8"/>
      <c r="Y95" s="8"/>
      <c r="Z95" s="8"/>
    </row>
    <row r="96" spans="1:26" x14ac:dyDescent="0.3">
      <c r="A96" s="8"/>
      <c r="B96" s="8"/>
      <c r="C96" s="8"/>
      <c r="D96" s="8"/>
      <c r="E96" s="8"/>
      <c r="F96" s="8"/>
      <c r="G96" s="8"/>
      <c r="H96" s="8"/>
      <c r="I96" s="8"/>
      <c r="J96" s="8"/>
      <c r="K96" s="8"/>
      <c r="L96" s="8"/>
      <c r="M96" s="8"/>
      <c r="N96" s="8"/>
      <c r="O96" s="8"/>
      <c r="P96" s="8"/>
      <c r="Q96" s="8"/>
      <c r="R96" s="8"/>
      <c r="S96" s="8"/>
      <c r="T96" s="8"/>
      <c r="U96" s="8"/>
      <c r="V96" s="8"/>
      <c r="W96" s="8"/>
      <c r="X96" s="8"/>
      <c r="Y96" s="8"/>
      <c r="Z96" s="8"/>
    </row>
    <row r="97" spans="1:26" x14ac:dyDescent="0.3">
      <c r="A97" s="8"/>
      <c r="B97" s="8"/>
      <c r="C97" s="8"/>
      <c r="D97" s="8"/>
      <c r="E97" s="8"/>
      <c r="F97" s="8"/>
      <c r="G97" s="8"/>
      <c r="H97" s="8"/>
      <c r="I97" s="8"/>
      <c r="J97" s="8"/>
      <c r="K97" s="8"/>
      <c r="L97" s="8"/>
      <c r="M97" s="8"/>
      <c r="N97" s="8"/>
      <c r="O97" s="8"/>
      <c r="P97" s="8"/>
      <c r="Q97" s="8"/>
      <c r="R97" s="8"/>
      <c r="S97" s="8"/>
      <c r="T97" s="8"/>
      <c r="U97" s="8"/>
      <c r="V97" s="8"/>
      <c r="W97" s="8"/>
      <c r="X97" s="8"/>
      <c r="Y97" s="8"/>
      <c r="Z97" s="8"/>
    </row>
    <row r="98" spans="1:26" x14ac:dyDescent="0.3">
      <c r="A98" s="8"/>
      <c r="B98" s="8"/>
      <c r="C98" s="8"/>
      <c r="D98" s="8"/>
      <c r="E98" s="8"/>
      <c r="F98" s="8"/>
      <c r="G98" s="8"/>
      <c r="H98" s="8"/>
      <c r="I98" s="8"/>
      <c r="J98" s="8"/>
      <c r="K98" s="8"/>
      <c r="L98" s="8"/>
      <c r="M98" s="8"/>
      <c r="N98" s="8"/>
      <c r="O98" s="8"/>
      <c r="P98" s="8"/>
      <c r="Q98" s="8"/>
      <c r="R98" s="8"/>
      <c r="S98" s="8"/>
      <c r="T98" s="8"/>
      <c r="U98" s="8"/>
      <c r="V98" s="8"/>
      <c r="W98" s="8"/>
      <c r="X98" s="8"/>
      <c r="Y98" s="8"/>
      <c r="Z98" s="8"/>
    </row>
    <row r="99" spans="1:26" x14ac:dyDescent="0.3">
      <c r="A99" s="8"/>
      <c r="B99" s="8"/>
      <c r="C99" s="8"/>
      <c r="D99" s="8"/>
      <c r="E99" s="8"/>
      <c r="F99" s="8"/>
      <c r="G99" s="8"/>
      <c r="H99" s="8"/>
      <c r="I99" s="8"/>
      <c r="J99" s="8"/>
      <c r="K99" s="8"/>
      <c r="L99" s="8"/>
      <c r="M99" s="8"/>
      <c r="N99" s="8"/>
      <c r="O99" s="8"/>
      <c r="P99" s="8"/>
      <c r="Q99" s="8"/>
      <c r="R99" s="8"/>
      <c r="S99" s="8"/>
      <c r="T99" s="8"/>
      <c r="U99" s="8"/>
      <c r="V99" s="8"/>
      <c r="W99" s="8"/>
      <c r="X99" s="8"/>
      <c r="Y99" s="8"/>
      <c r="Z99" s="8"/>
    </row>
    <row r="100" spans="1:26" x14ac:dyDescent="0.3">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spans="1:26" x14ac:dyDescent="0.3">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spans="1:26" x14ac:dyDescent="0.3">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spans="1:26" x14ac:dyDescent="0.3">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spans="1:26" x14ac:dyDescent="0.3">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spans="1:26" x14ac:dyDescent="0.3">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spans="1:26" x14ac:dyDescent="0.3">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spans="1:26" x14ac:dyDescent="0.3">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spans="1:26" x14ac:dyDescent="0.3">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spans="1:26" x14ac:dyDescent="0.3">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spans="1:26" x14ac:dyDescent="0.3">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spans="1:26" x14ac:dyDescent="0.3">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spans="1:26" x14ac:dyDescent="0.3">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spans="1:26" x14ac:dyDescent="0.3">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spans="1:26" x14ac:dyDescent="0.3">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spans="1:26" x14ac:dyDescent="0.3">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spans="1:26" x14ac:dyDescent="0.3">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spans="1:26" x14ac:dyDescent="0.3">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spans="1:26" x14ac:dyDescent="0.3">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spans="1:26" x14ac:dyDescent="0.3">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spans="1:26" x14ac:dyDescent="0.3">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spans="1:26" x14ac:dyDescent="0.3">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spans="1:26" x14ac:dyDescent="0.3">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spans="1:26" x14ac:dyDescent="0.3">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spans="1:26" x14ac:dyDescent="0.3">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spans="1:26" x14ac:dyDescent="0.3">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spans="1:26" x14ac:dyDescent="0.3">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spans="1:26" x14ac:dyDescent="0.3">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spans="1:26" x14ac:dyDescent="0.3">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spans="1:26" x14ac:dyDescent="0.3">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spans="1:26" x14ac:dyDescent="0.3">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spans="1:26" x14ac:dyDescent="0.3">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spans="1:26" x14ac:dyDescent="0.3">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spans="1:26" x14ac:dyDescent="0.3">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spans="1:26" x14ac:dyDescent="0.3">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spans="1:26" x14ac:dyDescent="0.3">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spans="1:26" x14ac:dyDescent="0.3">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246AD4B-0824-4EBB-8567-B1246EFC678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supply_chain_data</vt:lpstr>
      <vt:lpstr>Kpis</vt:lpstr>
      <vt:lpstr>Reports</vt:lpstr>
      <vt:lpstr>Sheet6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sidharth jogi</dc:creator>
  <cp:lastModifiedBy>sidharth jogi</cp:lastModifiedBy>
  <dcterms:created xsi:type="dcterms:W3CDTF">2026-06-13T04:03:30Z</dcterms:created>
  <dcterms:modified xsi:type="dcterms:W3CDTF">2026-06-13T11:18:43Z</dcterms:modified>
</cp:coreProperties>
</file>